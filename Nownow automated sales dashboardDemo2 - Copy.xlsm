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hidePivotFieldList="1" defaultThemeVersion="166925"/>
  <mc:AlternateContent xmlns:mc="http://schemas.openxmlformats.org/markup-compatibility/2006">
    <mc:Choice Requires="x15">
      <x15ac:absPath xmlns:x15ac="http://schemas.microsoft.com/office/spreadsheetml/2010/11/ac" url="C:\Users\Michael Babalola\Downloads\"/>
    </mc:Choice>
  </mc:AlternateContent>
  <xr:revisionPtr revIDLastSave="0" documentId="13_ncr:1_{E0BAFFFE-CE4A-4E92-8352-6925092BA548}" xr6:coauthVersionLast="47" xr6:coauthVersionMax="47" xr10:uidLastSave="{00000000-0000-0000-0000-000000000000}"/>
  <bookViews>
    <workbookView xWindow="-120" yWindow="-120" windowWidth="20730" windowHeight="11040" xr2:uid="{5E16E2C6-EEDD-4D88-A08D-B210782439B3}"/>
  </bookViews>
  <sheets>
    <sheet name="Dashboard" sheetId="10" r:id="rId1"/>
    <sheet name="Sales Raw Data" sheetId="3" r:id="rId2"/>
    <sheet name="New Raw Data" sheetId="14" r:id="rId3"/>
    <sheet name="Pivot Tables" sheetId="13" r:id="rId4"/>
  </sheets>
  <definedNames>
    <definedName name="_xlnm._FilterDatabase" localSheetId="1" hidden="1">'Sales Raw Data'!$A$1:$L$1</definedName>
    <definedName name="Autorefresh">OFFSET('Sales Raw Data'!$A$1, 0, 0, COUNTA('Sales Raw Data'!$A:$A), COUNTA('Sales Raw Data'!$1:$1))</definedName>
    <definedName name="Slicer_BDM_Name">#N/A</definedName>
    <definedName name="Slicer_RM_Name">#N/A</definedName>
    <definedName name="Slicer_State">#N/A</definedName>
  </definedNames>
  <calcPr calcId="191029"/>
  <pivotCaches>
    <pivotCache cacheId="1" r:id="rId5"/>
    <pivotCache cacheId="2" r:id="rId6"/>
  </pivotCaches>
  <extLst>
    <ext xmlns:x14="http://schemas.microsoft.com/office/spreadsheetml/2009/9/main" uri="{BBE1A952-AA13-448e-AADC-164F8A28A991}">
      <x14:slicerCaches>
        <x14:slicerCache r:id="rId7"/>
        <x14:slicerCache r:id="rId8"/>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3" i="10" l="1"/>
  <c r="R47" i="10"/>
  <c r="D24" i="10"/>
  <c r="D3" i="10"/>
  <c r="E47" i="10"/>
  <c r="S24" i="10"/>
  <c r="O24" i="10"/>
  <c r="S3" i="10"/>
</calcChain>
</file>

<file path=xl/sharedStrings.xml><?xml version="1.0" encoding="utf-8"?>
<sst xmlns="http://schemas.openxmlformats.org/spreadsheetml/2006/main" count="1572" uniqueCount="208">
  <si>
    <t>BDE Name</t>
  </si>
  <si>
    <t>BDM Name</t>
  </si>
  <si>
    <t>RM Name</t>
  </si>
  <si>
    <t>State</t>
  </si>
  <si>
    <t>Agents + Merchants</t>
  </si>
  <si>
    <t>Active</t>
  </si>
  <si>
    <t>Active POS</t>
  </si>
  <si>
    <t>ADENIJI OLUWATOBI EBUN</t>
  </si>
  <si>
    <t>OBA FRIDAY</t>
  </si>
  <si>
    <t>Ozioko Nkem</t>
  </si>
  <si>
    <t>LAGOS</t>
  </si>
  <si>
    <t>AKINNAWO OLURANTI REUBEN</t>
  </si>
  <si>
    <t>AJIA IBRAHIM GBENGA</t>
  </si>
  <si>
    <t>ABDULHAKEEM</t>
  </si>
  <si>
    <t>HELEN MODUPE OLAJIDE</t>
  </si>
  <si>
    <t>MAJEKODUNMI MATTHEW OLUWADAMILARE</t>
  </si>
  <si>
    <t>SAMUEL OLAWALE BODUNDE</t>
  </si>
  <si>
    <t>MERCY UZOMA OLUCHI</t>
  </si>
  <si>
    <t>OMOZOLEN FRANCIS CALISTUS</t>
  </si>
  <si>
    <t>KAYODE MAYOWA OBASANJO</t>
  </si>
  <si>
    <t>Onum Sarduna</t>
  </si>
  <si>
    <t>ADEOLA OLUWATOSIN FUNMILAYO</t>
  </si>
  <si>
    <t>IWUALA AKUDO</t>
  </si>
  <si>
    <t>ADENLA NURUDEEN ABAYOMI</t>
  </si>
  <si>
    <t>OYENIYI QUDUS</t>
  </si>
  <si>
    <t>Ekerette George</t>
  </si>
  <si>
    <t>OYO</t>
  </si>
  <si>
    <t>Adeoye Akorede Oluwafemi</t>
  </si>
  <si>
    <t>OLALERE OLUSHOLA ADEFEMI</t>
  </si>
  <si>
    <t>AKINOLA LAWRENCE</t>
  </si>
  <si>
    <t>OGUN</t>
  </si>
  <si>
    <t>LAWAL SAHEED ADEWALE</t>
  </si>
  <si>
    <t>OSUN</t>
  </si>
  <si>
    <t>Ogundare Risikat Abiodun</t>
  </si>
  <si>
    <t>AYENI NAOMI IMOLEAYO</t>
  </si>
  <si>
    <t>ONDO</t>
  </si>
  <si>
    <t>OGUNDELE OLUWATOYIN</t>
  </si>
  <si>
    <t>EKITI</t>
  </si>
  <si>
    <t>BENJAMIN WALLAH</t>
  </si>
  <si>
    <t>JEGEDE OLUWAKEMI VICTORIA</t>
  </si>
  <si>
    <t>Augustine Idoko</t>
  </si>
  <si>
    <t>FCT</t>
  </si>
  <si>
    <t>ADESHOLA ELIJAH EKUNDAYO</t>
  </si>
  <si>
    <t>JONATHAN JOSHUA AKO</t>
  </si>
  <si>
    <t>NASSARAWA</t>
  </si>
  <si>
    <t>PAUL OCHE ALI</t>
  </si>
  <si>
    <t>ITMA CHRISTOPHER</t>
  </si>
  <si>
    <t>BENUE</t>
  </si>
  <si>
    <t>Musa Ilyasu</t>
  </si>
  <si>
    <t>KOGI</t>
  </si>
  <si>
    <t>Nasiru Lawal Anda</t>
  </si>
  <si>
    <t>AMEDU STANLEY</t>
  </si>
  <si>
    <t>AYORINDE OMOWUMI</t>
  </si>
  <si>
    <t>PLATEAU</t>
  </si>
  <si>
    <t>UNDIBIALE WINNER ADAUMBE</t>
  </si>
  <si>
    <t>IFEANYI ONYEDIKACHI</t>
  </si>
  <si>
    <t>TARABA</t>
  </si>
  <si>
    <t>KENNETH NKEONYELLO</t>
  </si>
  <si>
    <t>GODSTIME EKENECHUKWU OKORIE</t>
  </si>
  <si>
    <t>Adeyeye Muideen</t>
  </si>
  <si>
    <t>MOSES JOSEPH ATUNGWU</t>
  </si>
  <si>
    <t>KADUNA</t>
  </si>
  <si>
    <t>Fatima Opaleke</t>
  </si>
  <si>
    <t>Jafaru Adamu</t>
  </si>
  <si>
    <t>ALABI FEMI JOSEPH</t>
  </si>
  <si>
    <t>ABDULRAHEEM AHMED</t>
  </si>
  <si>
    <t>NIGER</t>
  </si>
  <si>
    <t>OLATINWO MAYOWA MUKHTAR</t>
  </si>
  <si>
    <t>ADESHINA SHERIFF ADELEKE</t>
  </si>
  <si>
    <t>KWARA</t>
  </si>
  <si>
    <t>LATINWO SAHEED DAYO</t>
  </si>
  <si>
    <t>ADEKEMI TAWAKALITU BASHARU</t>
  </si>
  <si>
    <t>Aighufue Musa Suleiman</t>
  </si>
  <si>
    <t>ABDULRAUF ABDULLAHI KUNLE</t>
  </si>
  <si>
    <t>Ibrahim Zainab Temitope</t>
  </si>
  <si>
    <t>GBENGA JOHN ADAMOLEKUN</t>
  </si>
  <si>
    <t>OLADIPO ADAMOLEKUN</t>
  </si>
  <si>
    <t>KANO</t>
  </si>
  <si>
    <t>MIRABEL CHINENYE EZE</t>
  </si>
  <si>
    <t>Ahmed Kazeem</t>
  </si>
  <si>
    <t>KATSINA</t>
  </si>
  <si>
    <t>EMMANUEL OLORUNLEKE ENIS</t>
  </si>
  <si>
    <t>AHMAD AUDU UGBEDE</t>
  </si>
  <si>
    <t>JIGAWA</t>
  </si>
  <si>
    <t>ABDULSALAM IBRAHIM ADESHINA</t>
  </si>
  <si>
    <t>BASHAR YAKUB ABDULAZEEZ</t>
  </si>
  <si>
    <t>KEBBI</t>
  </si>
  <si>
    <t>NAZIRU BELLO</t>
  </si>
  <si>
    <t>SOKOTO</t>
  </si>
  <si>
    <t>UGBEIDE HAPPY MAXWELL</t>
  </si>
  <si>
    <t>LUCKY OISEOMOKHAI</t>
  </si>
  <si>
    <t>IBEGBULEM EZENWACHIDI</t>
  </si>
  <si>
    <t>RIVERS</t>
  </si>
  <si>
    <t>HELEN JACK SAMPSON</t>
  </si>
  <si>
    <t>JUDITH ETUNNE</t>
  </si>
  <si>
    <t>ALINTA CHUKWU</t>
  </si>
  <si>
    <t>Chijioke Okechukwu</t>
  </si>
  <si>
    <t>Peace Sampson Akpan</t>
  </si>
  <si>
    <t>MAUREEN UKEME</t>
  </si>
  <si>
    <t>VICTORIA CHIMUANYA</t>
  </si>
  <si>
    <t>CYNTHIA UWANDU</t>
  </si>
  <si>
    <t>CHIOMA ONYEMJORO</t>
  </si>
  <si>
    <t>EDEM NOAH</t>
  </si>
  <si>
    <t>ORDU SYLVERNUS</t>
  </si>
  <si>
    <t>IGBARAGO AYODEJI</t>
  </si>
  <si>
    <t>ENUDI ISIOMA SANDRA</t>
  </si>
  <si>
    <t>EDO</t>
  </si>
  <si>
    <t>OKHEMEHIMI BENALD EROMOSE</t>
  </si>
  <si>
    <t>ESHIORIAMEH SUSAN</t>
  </si>
  <si>
    <t>AKINOLA IFEOLUWA OLUWATOBI</t>
  </si>
  <si>
    <t>AKWA IBOM</t>
  </si>
  <si>
    <t>GLORIA EFFIOM BASSEY</t>
  </si>
  <si>
    <t>CROSS RIVER</t>
  </si>
  <si>
    <t>NEKPEN IZEKOR</t>
  </si>
  <si>
    <t>DELTA</t>
  </si>
  <si>
    <t>Okorie Nkeiruka</t>
  </si>
  <si>
    <t>DURUAKU CHUKWUDI PRISDOM</t>
  </si>
  <si>
    <t>Nnachi Collins Nnanna</t>
  </si>
  <si>
    <t>IMO</t>
  </si>
  <si>
    <t>ONYIALOVETH IFUNANYA</t>
  </si>
  <si>
    <t>UDUEBOR, MARVELOUS IHENYEN</t>
  </si>
  <si>
    <t>ENUGU</t>
  </si>
  <si>
    <t>NWODE EMMANUEL</t>
  </si>
  <si>
    <t>UGORJI DIVINE</t>
  </si>
  <si>
    <t>EGBUNA FRANCIS</t>
  </si>
  <si>
    <t>ANYACHO FLORENCE</t>
  </si>
  <si>
    <t>AGBAFOR HAPPINESS</t>
  </si>
  <si>
    <t>OFFOEGBULEM GABRIEL</t>
  </si>
  <si>
    <t>CHRIS CHIBUEZE ECHEFU</t>
  </si>
  <si>
    <t>FATOKE ADEWALE OMOTAYO</t>
  </si>
  <si>
    <t>GOMBE</t>
  </si>
  <si>
    <t>Peter Pam Dalyop</t>
  </si>
  <si>
    <t>BAUCHI</t>
  </si>
  <si>
    <t>JAMES COLUMBUS</t>
  </si>
  <si>
    <t>Julius John Winnew</t>
  </si>
  <si>
    <t>ATAWADAN DENIS DANIEL</t>
  </si>
  <si>
    <t>ADAMAWA</t>
  </si>
  <si>
    <t>YAHAYA ALI</t>
  </si>
  <si>
    <t>BORNO</t>
  </si>
  <si>
    <t>EDUOTU SOLOMON AKPOBOME</t>
  </si>
  <si>
    <t>YOBE</t>
  </si>
  <si>
    <t>JOSHUA OSANYINBI</t>
  </si>
  <si>
    <t>ATIDADE EMMANUEL OLAKUNLE</t>
  </si>
  <si>
    <t>OLAKULEHIN MUSA KEHINDE</t>
  </si>
  <si>
    <t>JOHN OVYE</t>
  </si>
  <si>
    <t>ADELEKE HANNAH SAMUEL</t>
  </si>
  <si>
    <t>Joseph Darius</t>
  </si>
  <si>
    <t>Emmanuel felix</t>
  </si>
  <si>
    <t>Catherine Daniel</t>
  </si>
  <si>
    <t>JOY JACOB OJOCHENEMI</t>
  </si>
  <si>
    <t>ABOJE JONATHAN ADEGAH</t>
  </si>
  <si>
    <t>Yahaya Bello</t>
  </si>
  <si>
    <t>MOSES TOLORUNSOGBON</t>
  </si>
  <si>
    <t>Ajayi Rilwan Adeyemi</t>
  </si>
  <si>
    <t>Oluwatimilehin Christy Omotayo</t>
  </si>
  <si>
    <t>Afeez Lawal</t>
  </si>
  <si>
    <t>Esther Godgift</t>
  </si>
  <si>
    <t>Izunna Chinenye Jane</t>
  </si>
  <si>
    <t>Mercy Ogbuagu</t>
  </si>
  <si>
    <t>OMOBOLANLE OBAMOYEGUN</t>
  </si>
  <si>
    <t>MERCY ADEYI</t>
  </si>
  <si>
    <t>KAYODE DAMILOLA ESTHER</t>
  </si>
  <si>
    <t>SAKA SELIM ADEMOLA</t>
  </si>
  <si>
    <t>JAMES BONIFACE</t>
  </si>
  <si>
    <t>Attah Eima Ojochogu</t>
  </si>
  <si>
    <t>SULYMAN HASSAN</t>
  </si>
  <si>
    <t>Azurunwa Chimezie</t>
  </si>
  <si>
    <t>ZAMFARA</t>
  </si>
  <si>
    <t>IMOLE AYOKUNLE</t>
  </si>
  <si>
    <t>ADEBISI ADETOMI OLAMIDE</t>
  </si>
  <si>
    <t>AKOREDE ABDULGANIY SHEHU</t>
  </si>
  <si>
    <t>CHIWUZIE VICTOR CHUKWUNONSO</t>
  </si>
  <si>
    <t>BERNARD EMEKA EMMANUEL</t>
  </si>
  <si>
    <t>AZEEZ IDRIS</t>
  </si>
  <si>
    <t>MESOGBORIWON OLUWAGBENGA</t>
  </si>
  <si>
    <t>IKEJIOFOR EKENE</t>
  </si>
  <si>
    <t>BENSON NAOMI</t>
  </si>
  <si>
    <t>HARRISON NELLY</t>
  </si>
  <si>
    <t>JAMIU IFEDAMOLA RUKAYAT</t>
  </si>
  <si>
    <t>AKANJI MATTHEW</t>
  </si>
  <si>
    <t>BELLO HAMMED</t>
  </si>
  <si>
    <t>AJULO OLUWATOSIN</t>
  </si>
  <si>
    <t>Transaction Count</t>
  </si>
  <si>
    <t>Transaction value</t>
  </si>
  <si>
    <t>Number of POS</t>
  </si>
  <si>
    <t>POS transaction count</t>
  </si>
  <si>
    <t>POS transaction value</t>
  </si>
  <si>
    <t>Row Labels</t>
  </si>
  <si>
    <t>Grand Total</t>
  </si>
  <si>
    <t>Sum of Agents + Merchants</t>
  </si>
  <si>
    <t>Sum of Active</t>
  </si>
  <si>
    <t>Sales Report Summary(1st of September to 30th September)</t>
  </si>
  <si>
    <t>Sum of Transaction Count</t>
  </si>
  <si>
    <t>Sum of Transaction value</t>
  </si>
  <si>
    <t>Sum of Number of POS</t>
  </si>
  <si>
    <t>Sum of Active POS</t>
  </si>
  <si>
    <t>Sum of POS transaction count</t>
  </si>
  <si>
    <t>Sum of POS transaction value</t>
  </si>
  <si>
    <t>Total(Agents + Merchants)</t>
  </si>
  <si>
    <t>Total Active</t>
  </si>
  <si>
    <t>Total Transaction Counts</t>
  </si>
  <si>
    <t>Total Transaction Value</t>
  </si>
  <si>
    <t>Total Number Of POS</t>
  </si>
  <si>
    <t>Total Number Of Active POS</t>
  </si>
  <si>
    <t>Total POS Transactions Value</t>
  </si>
  <si>
    <t>Total POS Transactions Count</t>
  </si>
  <si>
    <t>s</t>
  </si>
  <si>
    <t>JOHN OVYE VICTOR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</si>
</sst>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quot;₦&quot;* #,##0.00_-;_-&quot;₦&quot;* &quot;-&quot;??_-;_-@_-"/>
    <numFmt numFmtId="164" formatCode="&quot;₦&quot;#,##0.00"/>
  </numFmts>
  <fonts count="8" x14ac:knownFonts="1">
    <font>
      <sz val="11"/>
      <color theme="1"/>
      <name val="Calibri"/>
      <family val="2"/>
      <scheme val="minor"/>
    </font>
    <font>
      <sz val="16"/>
      <color theme="1"/>
      <name val="Calibri"/>
      <family val="2"/>
      <scheme val="minor"/>
    </font>
    <font>
      <b/>
      <sz val="16"/>
      <color theme="0"/>
      <name val="Calibri"/>
      <family val="2"/>
      <scheme val="minor"/>
    </font>
    <font>
      <sz val="20"/>
      <color theme="1"/>
      <name val="Calibri"/>
      <family val="2"/>
      <scheme val="minor"/>
    </font>
    <font>
      <b/>
      <sz val="14"/>
      <color theme="0"/>
      <name val="Calibri"/>
      <family val="2"/>
      <scheme val="minor"/>
    </font>
    <font>
      <sz val="14"/>
      <color theme="1"/>
      <name val="Calibri"/>
      <family val="2"/>
      <scheme val="minor"/>
    </font>
    <font>
      <b/>
      <sz val="22"/>
      <color theme="0"/>
      <name val="Calibri"/>
      <family val="2"/>
      <scheme val="minor"/>
    </font>
    <font>
      <sz val="11"/>
      <color theme="0"/>
      <name val="Calibri"/>
      <family val="2"/>
      <scheme val="minor"/>
    </font>
  </fonts>
  <fills count="5">
    <fill>
      <patternFill patternType="none"/>
    </fill>
    <fill>
      <patternFill patternType="gray125"/>
    </fill>
    <fill>
      <patternFill patternType="solid">
        <fgColor theme="1" tint="4.9989318521683403E-2"/>
        <bgColor indexed="64"/>
      </patternFill>
    </fill>
    <fill>
      <patternFill patternType="solid">
        <fgColor theme="1"/>
        <bgColor indexed="64"/>
      </patternFill>
    </fill>
    <fill>
      <patternFill patternType="solid">
        <fgColor theme="0"/>
        <bgColor indexed="64"/>
      </patternFill>
    </fill>
  </fills>
  <borders count="10">
    <border>
      <left/>
      <right/>
      <top/>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indexed="65"/>
      </top>
      <bottom/>
      <diagonal/>
    </border>
    <border>
      <left style="thin">
        <color indexed="65"/>
      </left>
      <right/>
      <top style="thin">
        <color indexed="65"/>
      </top>
      <bottom/>
      <diagonal/>
    </border>
    <border>
      <left style="thin">
        <color indexed="65"/>
      </left>
      <right style="thin">
        <color rgb="FF999999"/>
      </right>
      <top style="thin">
        <color indexed="65"/>
      </top>
      <bottom/>
      <diagonal/>
    </border>
    <border>
      <left style="thin">
        <color rgb="FF999999"/>
      </left>
      <right/>
      <top style="thin">
        <color indexed="65"/>
      </top>
      <bottom style="thin">
        <color rgb="FF999999"/>
      </bottom>
      <diagonal/>
    </border>
    <border>
      <left style="thin">
        <color indexed="65"/>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s>
  <cellStyleXfs count="1">
    <xf numFmtId="0" fontId="0" fillId="0" borderId="0"/>
  </cellStyleXfs>
  <cellXfs count="27">
    <xf numFmtId="0" fontId="0" fillId="0" borderId="0" xfId="0"/>
    <xf numFmtId="0" fontId="0" fillId="2" borderId="0" xfId="0" applyFill="1"/>
    <xf numFmtId="1" fontId="0" fillId="0" borderId="0" xfId="0" applyNumberFormat="1"/>
    <xf numFmtId="0" fontId="0" fillId="0" borderId="0" xfId="0" pivotButton="1"/>
    <xf numFmtId="0" fontId="0" fillId="0" borderId="0" xfId="0" applyAlignment="1">
      <alignment horizontal="left"/>
    </xf>
    <xf numFmtId="0" fontId="1" fillId="2" borderId="0" xfId="0" applyFont="1" applyFill="1"/>
    <xf numFmtId="0" fontId="2" fillId="2" borderId="0" xfId="0" applyFont="1" applyFill="1"/>
    <xf numFmtId="0" fontId="3" fillId="2" borderId="0" xfId="0" applyFont="1" applyFill="1"/>
    <xf numFmtId="0" fontId="0" fillId="3" borderId="0" xfId="0" applyFill="1"/>
    <xf numFmtId="0" fontId="0" fillId="4" borderId="0" xfId="0" applyFill="1"/>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4" fillId="2" borderId="0" xfId="0" applyFont="1" applyFill="1"/>
    <xf numFmtId="0" fontId="5" fillId="2" borderId="0" xfId="0" applyFont="1" applyFill="1"/>
    <xf numFmtId="0" fontId="6" fillId="2" borderId="0" xfId="0" applyFont="1" applyFill="1"/>
    <xf numFmtId="164" fontId="0" fillId="0" borderId="0" xfId="0" applyNumberFormat="1"/>
    <xf numFmtId="164" fontId="4" fillId="2" borderId="0" xfId="0" applyNumberFormat="1" applyFont="1" applyFill="1"/>
    <xf numFmtId="0" fontId="4" fillId="3" borderId="0" xfId="0" applyFont="1" applyFill="1"/>
    <xf numFmtId="0" fontId="7" fillId="2" borderId="0" xfId="0" applyFont="1" applyFill="1"/>
    <xf numFmtId="0" fontId="0" fillId="0" borderId="0" xfId="0" applyNumberFormat="1"/>
  </cellXfs>
  <cellStyles count="1">
    <cellStyle name="Normal" xfId="0" builtinId="0"/>
  </cellStyles>
  <dxfs count="12">
    <dxf>
      <numFmt numFmtId="164" formatCode="&quot;₦&quot;#,##0.00"/>
    </dxf>
    <dxf>
      <numFmt numFmtId="164" formatCode="&quot;₦&quot;#,##0.00"/>
    </dxf>
    <dxf>
      <numFmt numFmtId="164" formatCode="&quot;₦&quot;#,##0.00"/>
    </dxf>
    <dxf>
      <numFmt numFmtId="164" formatCode="&quot;₦&quot;#,##0.00"/>
    </dxf>
    <dxf>
      <numFmt numFmtId="164" formatCode="&quot;₦&quot;#,##0.00"/>
    </dxf>
    <dxf>
      <numFmt numFmtId="164" formatCode="&quot;₦&quot;#,##0.00"/>
    </dxf>
    <dxf>
      <numFmt numFmtId="164" formatCode="&quot;₦&quot;#,##0.00"/>
    </dxf>
    <dxf>
      <numFmt numFmtId="164" formatCode="&quot;₦&quot;#,##0.00"/>
    </dxf>
    <dxf>
      <numFmt numFmtId="164" formatCode="&quot;₦&quot;#,##0.00"/>
    </dxf>
    <dxf>
      <numFmt numFmtId="164" formatCode="&quot;₦&quot;#,##0.00"/>
    </dxf>
    <dxf>
      <font>
        <b/>
      </font>
    </dxf>
    <dxf>
      <font>
        <sz val="14"/>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styles" Target="styles.xml"/><Relationship Id="rId5" Type="http://schemas.openxmlformats.org/officeDocument/2006/relationships/pivotCacheDefinition" Target="pivotCache/pivotCacheDefinition1.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[Nownow automated sales dashboardDemo2 - Copy.xlsm]Pivot Tables!PivotTable2</c:name>
    <c:fmtId val="3"/>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GB" b="1"/>
              <a:t>(Agents + Merchants) Compared To Active</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NG"/>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615126174383292E-2"/>
          <c:y val="8.4024027629878428E-2"/>
          <c:w val="0.92518207016422394"/>
          <c:h val="0.77523893622784823"/>
        </c:manualLayout>
      </c:layout>
      <c:barChart>
        <c:barDir val="col"/>
        <c:grouping val="clustered"/>
        <c:varyColors val="0"/>
        <c:ser>
          <c:idx val="0"/>
          <c:order val="0"/>
          <c:tx>
            <c:strRef>
              <c:f>'Pivot Tables'!$B$3</c:f>
              <c:strCache>
                <c:ptCount val="1"/>
                <c:pt idx="0">
                  <c:v>Sum of Agents + Merchants</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Tables'!$A$4:$A$21</c:f>
              <c:strCache>
                <c:ptCount val="17"/>
                <c:pt idx="0">
                  <c:v>OYENIYI QUDUS</c:v>
                </c:pt>
                <c:pt idx="1">
                  <c:v>OBA FRIDAY</c:v>
                </c:pt>
                <c:pt idx="2">
                  <c:v>JEGEDE OLUWAKEMI VICTORIA</c:v>
                </c:pt>
                <c:pt idx="3">
                  <c:v>LUCKY OISEOMOKHAI</c:v>
                </c:pt>
                <c:pt idx="4">
                  <c:v>ENUDI ISIOMA SANDRA</c:v>
                </c:pt>
                <c:pt idx="5">
                  <c:v>OLADIPO ADAMOLEKUN</c:v>
                </c:pt>
                <c:pt idx="6">
                  <c:v>SAMUEL OLAWALE BODUNDE</c:v>
                </c:pt>
                <c:pt idx="7">
                  <c:v>BASHAR YAKUB ABDULAZEEZ</c:v>
                </c:pt>
                <c:pt idx="8">
                  <c:v>AYORINDE OMOWUMI</c:v>
                </c:pt>
                <c:pt idx="9">
                  <c:v>ADESHINA SHERIFF ADELEKE</c:v>
                </c:pt>
                <c:pt idx="10">
                  <c:v>MOSES JOSEPH ATUNGWU</c:v>
                </c:pt>
                <c:pt idx="11">
                  <c:v>DURUAKU CHUKWUDI PRISDOM</c:v>
                </c:pt>
                <c:pt idx="12">
                  <c:v>ALINTA CHUKWU</c:v>
                </c:pt>
                <c:pt idx="13">
                  <c:v>FATOKE ADEWALE OMOTAYO</c:v>
                </c:pt>
                <c:pt idx="14">
                  <c:v>ABDULRAHEEM AHMED</c:v>
                </c:pt>
                <c:pt idx="15">
                  <c:v>UDUEBOR, MARVELOUS IHENYEN</c:v>
                </c:pt>
                <c:pt idx="16">
                  <c:v>Afeez Lawal</c:v>
                </c:pt>
              </c:strCache>
            </c:strRef>
          </c:cat>
          <c:val>
            <c:numRef>
              <c:f>'Pivot Tables'!$B$4:$B$21</c:f>
              <c:numCache>
                <c:formatCode>General</c:formatCode>
                <c:ptCount val="17"/>
                <c:pt idx="0">
                  <c:v>7282</c:v>
                </c:pt>
                <c:pt idx="1">
                  <c:v>7076</c:v>
                </c:pt>
                <c:pt idx="2">
                  <c:v>6412</c:v>
                </c:pt>
                <c:pt idx="3">
                  <c:v>5142</c:v>
                </c:pt>
                <c:pt idx="4">
                  <c:v>3998</c:v>
                </c:pt>
                <c:pt idx="5">
                  <c:v>3732</c:v>
                </c:pt>
                <c:pt idx="6">
                  <c:v>3662</c:v>
                </c:pt>
                <c:pt idx="7">
                  <c:v>3572</c:v>
                </c:pt>
                <c:pt idx="8">
                  <c:v>2953</c:v>
                </c:pt>
                <c:pt idx="9">
                  <c:v>2710</c:v>
                </c:pt>
                <c:pt idx="10">
                  <c:v>2216</c:v>
                </c:pt>
                <c:pt idx="11">
                  <c:v>2102</c:v>
                </c:pt>
                <c:pt idx="12">
                  <c:v>1530</c:v>
                </c:pt>
                <c:pt idx="13">
                  <c:v>1188</c:v>
                </c:pt>
                <c:pt idx="14">
                  <c:v>1180</c:v>
                </c:pt>
                <c:pt idx="15">
                  <c:v>308</c:v>
                </c:pt>
                <c:pt idx="16">
                  <c:v>0</c:v>
                </c:pt>
              </c:numCache>
            </c:numRef>
          </c:val>
          <c:extLst>
            <c:ext xmlns:c16="http://schemas.microsoft.com/office/drawing/2014/chart" uri="{C3380CC4-5D6E-409C-BE32-E72D297353CC}">
              <c16:uniqueId val="{00000000-10BE-4CC5-8395-752E2247DF8A}"/>
            </c:ext>
          </c:extLst>
        </c:ser>
        <c:ser>
          <c:idx val="1"/>
          <c:order val="1"/>
          <c:tx>
            <c:strRef>
              <c:f>'Pivot Tables'!$C$3</c:f>
              <c:strCache>
                <c:ptCount val="1"/>
                <c:pt idx="0">
                  <c:v>Sum of Active</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Tables'!$A$4:$A$21</c:f>
              <c:strCache>
                <c:ptCount val="17"/>
                <c:pt idx="0">
                  <c:v>OYENIYI QUDUS</c:v>
                </c:pt>
                <c:pt idx="1">
                  <c:v>OBA FRIDAY</c:v>
                </c:pt>
                <c:pt idx="2">
                  <c:v>JEGEDE OLUWAKEMI VICTORIA</c:v>
                </c:pt>
                <c:pt idx="3">
                  <c:v>LUCKY OISEOMOKHAI</c:v>
                </c:pt>
                <c:pt idx="4">
                  <c:v>ENUDI ISIOMA SANDRA</c:v>
                </c:pt>
                <c:pt idx="5">
                  <c:v>OLADIPO ADAMOLEKUN</c:v>
                </c:pt>
                <c:pt idx="6">
                  <c:v>SAMUEL OLAWALE BODUNDE</c:v>
                </c:pt>
                <c:pt idx="7">
                  <c:v>BASHAR YAKUB ABDULAZEEZ</c:v>
                </c:pt>
                <c:pt idx="8">
                  <c:v>AYORINDE OMOWUMI</c:v>
                </c:pt>
                <c:pt idx="9">
                  <c:v>ADESHINA SHERIFF ADELEKE</c:v>
                </c:pt>
                <c:pt idx="10">
                  <c:v>MOSES JOSEPH ATUNGWU</c:v>
                </c:pt>
                <c:pt idx="11">
                  <c:v>DURUAKU CHUKWUDI PRISDOM</c:v>
                </c:pt>
                <c:pt idx="12">
                  <c:v>ALINTA CHUKWU</c:v>
                </c:pt>
                <c:pt idx="13">
                  <c:v>FATOKE ADEWALE OMOTAYO</c:v>
                </c:pt>
                <c:pt idx="14">
                  <c:v>ABDULRAHEEM AHMED</c:v>
                </c:pt>
                <c:pt idx="15">
                  <c:v>UDUEBOR, MARVELOUS IHENYEN</c:v>
                </c:pt>
                <c:pt idx="16">
                  <c:v>Afeez Lawal</c:v>
                </c:pt>
              </c:strCache>
            </c:strRef>
          </c:cat>
          <c:val>
            <c:numRef>
              <c:f>'Pivot Tables'!$C$4:$C$21</c:f>
              <c:numCache>
                <c:formatCode>General</c:formatCode>
                <c:ptCount val="17"/>
                <c:pt idx="0">
                  <c:v>1381</c:v>
                </c:pt>
                <c:pt idx="1">
                  <c:v>1362</c:v>
                </c:pt>
                <c:pt idx="2">
                  <c:v>768</c:v>
                </c:pt>
                <c:pt idx="3">
                  <c:v>1156</c:v>
                </c:pt>
                <c:pt idx="4">
                  <c:v>1125</c:v>
                </c:pt>
                <c:pt idx="5">
                  <c:v>545</c:v>
                </c:pt>
                <c:pt idx="6">
                  <c:v>954</c:v>
                </c:pt>
                <c:pt idx="7">
                  <c:v>453</c:v>
                </c:pt>
                <c:pt idx="8">
                  <c:v>491</c:v>
                </c:pt>
                <c:pt idx="9">
                  <c:v>619</c:v>
                </c:pt>
                <c:pt idx="10">
                  <c:v>149</c:v>
                </c:pt>
                <c:pt idx="11">
                  <c:v>386</c:v>
                </c:pt>
                <c:pt idx="12">
                  <c:v>392</c:v>
                </c:pt>
                <c:pt idx="13">
                  <c:v>263</c:v>
                </c:pt>
                <c:pt idx="14">
                  <c:v>197</c:v>
                </c:pt>
                <c:pt idx="15">
                  <c:v>56</c:v>
                </c:pt>
                <c:pt idx="16">
                  <c:v>0</c:v>
                </c:pt>
              </c:numCache>
            </c:numRef>
          </c:val>
          <c:extLst>
            <c:ext xmlns:c16="http://schemas.microsoft.com/office/drawing/2014/chart" uri="{C3380CC4-5D6E-409C-BE32-E72D297353CC}">
              <c16:uniqueId val="{00000001-10BE-4CC5-8395-752E2247DF8A}"/>
            </c:ext>
          </c:extLst>
        </c:ser>
        <c:dLbls>
          <c:showLegendKey val="0"/>
          <c:showVal val="0"/>
          <c:showCatName val="0"/>
          <c:showSerName val="0"/>
          <c:showPercent val="0"/>
          <c:showBubbleSize val="0"/>
        </c:dLbls>
        <c:gapWidth val="40"/>
        <c:overlap val="-27"/>
        <c:axId val="578526095"/>
        <c:axId val="655154527"/>
      </c:barChart>
      <c:catAx>
        <c:axId val="5785260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655154527"/>
        <c:crosses val="autoZero"/>
        <c:auto val="1"/>
        <c:lblAlgn val="ctr"/>
        <c:lblOffset val="100"/>
        <c:noMultiLvlLbl val="0"/>
      </c:catAx>
      <c:valAx>
        <c:axId val="655154527"/>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5785260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[Nownow automated sales dashboardDemo2 - Copy.xlsm]Pivot Tables!PivotTable3</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 Transactions Count</a:t>
            </a:r>
          </a:p>
        </c:rich>
      </c:tx>
      <c:layout>
        <c:manualLayout>
          <c:xMode val="edge"/>
          <c:yMode val="edge"/>
          <c:x val="0.47046108536766595"/>
          <c:y val="2.074073832129036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G"/>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476308966095857"/>
          <c:y val="8.3274064359980846E-2"/>
          <c:w val="0.71628572387579614"/>
          <c:h val="0.83307761255048751"/>
        </c:manualLayout>
      </c:layout>
      <c:barChart>
        <c:barDir val="bar"/>
        <c:grouping val="clustered"/>
        <c:varyColors val="0"/>
        <c:ser>
          <c:idx val="0"/>
          <c:order val="0"/>
          <c:tx>
            <c:strRef>
              <c:f>'Pivot Tables'!$F$3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Tables'!$E$4:$E$21</c:f>
              <c:strCache>
                <c:ptCount val="17"/>
                <c:pt idx="0">
                  <c:v>Afeez Lawal</c:v>
                </c:pt>
                <c:pt idx="1">
                  <c:v>UDUEBOR, MARVELOUS IHENYEN</c:v>
                </c:pt>
                <c:pt idx="2">
                  <c:v>MOSES JOSEPH ATUNGWU</c:v>
                </c:pt>
                <c:pt idx="3">
                  <c:v>ABDULRAHEEM AHMED</c:v>
                </c:pt>
                <c:pt idx="4">
                  <c:v>FATOKE ADEWALE OMOTAYO</c:v>
                </c:pt>
                <c:pt idx="5">
                  <c:v>DURUAKU CHUKWUDI PRISDOM</c:v>
                </c:pt>
                <c:pt idx="6">
                  <c:v>ADESHINA SHERIFF ADELEKE</c:v>
                </c:pt>
                <c:pt idx="7">
                  <c:v>AYORINDE OMOWUMI</c:v>
                </c:pt>
                <c:pt idx="8">
                  <c:v>BASHAR YAKUB ABDULAZEEZ</c:v>
                </c:pt>
                <c:pt idx="9">
                  <c:v>ALINTA CHUKWU</c:v>
                </c:pt>
                <c:pt idx="10">
                  <c:v>JEGEDE OLUWAKEMI VICTORIA</c:v>
                </c:pt>
                <c:pt idx="11">
                  <c:v>OLADIPO ADAMOLEKUN</c:v>
                </c:pt>
                <c:pt idx="12">
                  <c:v>ENUDI ISIOMA SANDRA</c:v>
                </c:pt>
                <c:pt idx="13">
                  <c:v>OBA FRIDAY</c:v>
                </c:pt>
                <c:pt idx="14">
                  <c:v>OYENIYI QUDUS</c:v>
                </c:pt>
                <c:pt idx="15">
                  <c:v>SAMUEL OLAWALE BODUNDE</c:v>
                </c:pt>
                <c:pt idx="16">
                  <c:v>LUCKY OISEOMOKHAI</c:v>
                </c:pt>
              </c:strCache>
            </c:strRef>
          </c:cat>
          <c:val>
            <c:numRef>
              <c:f>'Pivot Tables'!$F$4:$F$21</c:f>
              <c:numCache>
                <c:formatCode>General</c:formatCode>
                <c:ptCount val="17"/>
                <c:pt idx="0">
                  <c:v>0</c:v>
                </c:pt>
                <c:pt idx="1">
                  <c:v>4958</c:v>
                </c:pt>
                <c:pt idx="2">
                  <c:v>8730</c:v>
                </c:pt>
                <c:pt idx="3">
                  <c:v>10624</c:v>
                </c:pt>
                <c:pt idx="4">
                  <c:v>15052</c:v>
                </c:pt>
                <c:pt idx="5">
                  <c:v>17999</c:v>
                </c:pt>
                <c:pt idx="6">
                  <c:v>31451</c:v>
                </c:pt>
                <c:pt idx="7">
                  <c:v>31654</c:v>
                </c:pt>
                <c:pt idx="8">
                  <c:v>31781</c:v>
                </c:pt>
                <c:pt idx="9">
                  <c:v>38620</c:v>
                </c:pt>
                <c:pt idx="10">
                  <c:v>42368</c:v>
                </c:pt>
                <c:pt idx="11">
                  <c:v>52479</c:v>
                </c:pt>
                <c:pt idx="12">
                  <c:v>54637</c:v>
                </c:pt>
                <c:pt idx="13">
                  <c:v>71998</c:v>
                </c:pt>
                <c:pt idx="14">
                  <c:v>77704</c:v>
                </c:pt>
                <c:pt idx="15">
                  <c:v>79821</c:v>
                </c:pt>
                <c:pt idx="16">
                  <c:v>92180</c:v>
                </c:pt>
              </c:numCache>
            </c:numRef>
          </c:val>
          <c:extLst>
            <c:ext xmlns:c16="http://schemas.microsoft.com/office/drawing/2014/chart" uri="{C3380CC4-5D6E-409C-BE32-E72D297353CC}">
              <c16:uniqueId val="{00000000-C27A-49C7-A642-5C41C4E8250F}"/>
            </c:ext>
          </c:extLst>
        </c:ser>
        <c:dLbls>
          <c:showLegendKey val="0"/>
          <c:showVal val="0"/>
          <c:showCatName val="0"/>
          <c:showSerName val="0"/>
          <c:showPercent val="0"/>
          <c:showBubbleSize val="0"/>
        </c:dLbls>
        <c:gapWidth val="40"/>
        <c:axId val="701702943"/>
        <c:axId val="697741567"/>
      </c:barChart>
      <c:catAx>
        <c:axId val="70170294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697741567"/>
        <c:crosses val="autoZero"/>
        <c:auto val="1"/>
        <c:lblAlgn val="ctr"/>
        <c:lblOffset val="100"/>
        <c:noMultiLvlLbl val="0"/>
      </c:catAx>
      <c:valAx>
        <c:axId val="697741567"/>
        <c:scaling>
          <c:orientation val="minMax"/>
        </c:scaling>
        <c:delete val="0"/>
        <c:axPos val="b"/>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7017029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[Nownow automated sales dashboardDemo2 - Copy.xlsm]Pivot Tables!PivotTable6</c:name>
    <c:fmtId val="11"/>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Transactions</a:t>
            </a:r>
            <a:r>
              <a:rPr lang="en-US" b="1" baseline="0"/>
              <a:t> Value</a:t>
            </a:r>
            <a:endParaRPr lang="en-US"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NG"/>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1383981301416749"/>
          <c:y val="7.8367639339200268E-2"/>
          <c:w val="0.71122518061074202"/>
          <c:h val="0.8623730739539911"/>
        </c:manualLayout>
      </c:layout>
      <c:barChart>
        <c:barDir val="bar"/>
        <c:grouping val="clustered"/>
        <c:varyColors val="0"/>
        <c:ser>
          <c:idx val="0"/>
          <c:order val="0"/>
          <c:tx>
            <c:strRef>
              <c:f>'Pivot Tables'!$I$3</c:f>
              <c:strCache>
                <c:ptCount val="1"/>
                <c:pt idx="0">
                  <c:v>Total</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Tables'!$H$4:$H$21</c:f>
              <c:strCache>
                <c:ptCount val="17"/>
                <c:pt idx="0">
                  <c:v>Afeez Lawal</c:v>
                </c:pt>
                <c:pt idx="1">
                  <c:v>UDUEBOR, MARVELOUS IHENYEN</c:v>
                </c:pt>
                <c:pt idx="2">
                  <c:v>MOSES JOSEPH ATUNGWU</c:v>
                </c:pt>
                <c:pt idx="3">
                  <c:v>ABDULRAHEEM AHMED</c:v>
                </c:pt>
                <c:pt idx="4">
                  <c:v>FATOKE ADEWALE OMOTAYO</c:v>
                </c:pt>
                <c:pt idx="5">
                  <c:v>DURUAKU CHUKWUDI PRISDOM</c:v>
                </c:pt>
                <c:pt idx="6">
                  <c:v>ADESHINA SHERIFF ADELEKE</c:v>
                </c:pt>
                <c:pt idx="7">
                  <c:v>BASHAR YAKUB ABDULAZEEZ</c:v>
                </c:pt>
                <c:pt idx="8">
                  <c:v>AYORINDE OMOWUMI</c:v>
                </c:pt>
                <c:pt idx="9">
                  <c:v>ALINTA CHUKWU</c:v>
                </c:pt>
                <c:pt idx="10">
                  <c:v>JEGEDE OLUWAKEMI VICTORIA</c:v>
                </c:pt>
                <c:pt idx="11">
                  <c:v>OLADIPO ADAMOLEKUN</c:v>
                </c:pt>
                <c:pt idx="12">
                  <c:v>ENUDI ISIOMA SANDRA</c:v>
                </c:pt>
                <c:pt idx="13">
                  <c:v>OBA FRIDAY</c:v>
                </c:pt>
                <c:pt idx="14">
                  <c:v>SAMUEL OLAWALE BODUNDE</c:v>
                </c:pt>
                <c:pt idx="15">
                  <c:v>OYENIYI QUDUS</c:v>
                </c:pt>
                <c:pt idx="16">
                  <c:v>LUCKY OISEOMOKHAI</c:v>
                </c:pt>
              </c:strCache>
            </c:strRef>
          </c:cat>
          <c:val>
            <c:numRef>
              <c:f>'Pivot Tables'!$I$4:$I$21</c:f>
              <c:numCache>
                <c:formatCode>"₦"#,##0.00</c:formatCode>
                <c:ptCount val="17"/>
                <c:pt idx="0">
                  <c:v>0</c:v>
                </c:pt>
                <c:pt idx="1">
                  <c:v>25860666</c:v>
                </c:pt>
                <c:pt idx="2">
                  <c:v>99973275</c:v>
                </c:pt>
                <c:pt idx="3">
                  <c:v>136605398</c:v>
                </c:pt>
                <c:pt idx="4">
                  <c:v>201982158</c:v>
                </c:pt>
                <c:pt idx="5">
                  <c:v>230589438</c:v>
                </c:pt>
                <c:pt idx="6">
                  <c:v>292386635</c:v>
                </c:pt>
                <c:pt idx="7">
                  <c:v>424591531</c:v>
                </c:pt>
                <c:pt idx="8">
                  <c:v>435770986</c:v>
                </c:pt>
                <c:pt idx="9">
                  <c:v>467131819</c:v>
                </c:pt>
                <c:pt idx="10">
                  <c:v>517388693</c:v>
                </c:pt>
                <c:pt idx="11">
                  <c:v>696227770</c:v>
                </c:pt>
                <c:pt idx="12">
                  <c:v>795188827</c:v>
                </c:pt>
                <c:pt idx="13">
                  <c:v>939183606</c:v>
                </c:pt>
                <c:pt idx="14">
                  <c:v>963268233</c:v>
                </c:pt>
                <c:pt idx="15">
                  <c:v>1058510937</c:v>
                </c:pt>
                <c:pt idx="16">
                  <c:v>1233860749</c:v>
                </c:pt>
              </c:numCache>
            </c:numRef>
          </c:val>
          <c:extLst>
            <c:ext xmlns:c16="http://schemas.microsoft.com/office/drawing/2014/chart" uri="{C3380CC4-5D6E-409C-BE32-E72D297353CC}">
              <c16:uniqueId val="{00000000-0C38-479F-84A4-DE0EAD062B4D}"/>
            </c:ext>
          </c:extLst>
        </c:ser>
        <c:dLbls>
          <c:showLegendKey val="0"/>
          <c:showVal val="0"/>
          <c:showCatName val="0"/>
          <c:showSerName val="0"/>
          <c:showPercent val="0"/>
          <c:showBubbleSize val="0"/>
        </c:dLbls>
        <c:gapWidth val="40"/>
        <c:axId val="756201695"/>
        <c:axId val="697740079"/>
      </c:barChart>
      <c:catAx>
        <c:axId val="75620169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697740079"/>
        <c:crosses val="autoZero"/>
        <c:auto val="1"/>
        <c:lblAlgn val="ctr"/>
        <c:lblOffset val="100"/>
        <c:noMultiLvlLbl val="0"/>
      </c:catAx>
      <c:valAx>
        <c:axId val="697740079"/>
        <c:scaling>
          <c:orientation val="minMax"/>
        </c:scaling>
        <c:delete val="0"/>
        <c:axPos val="b"/>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7562016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[Nownow automated sales dashboardDemo2 - Copy.xlsm]Pivot Tables!PivotTable7</c:name>
    <c:fmtId val="2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t>Number</a:t>
            </a:r>
            <a:r>
              <a:rPr lang="en-GB" b="1" baseline="0"/>
              <a:t> Of POS Compared To Number Of Active POS</a:t>
            </a:r>
            <a:endParaRPr lang="en-GB" b="1"/>
          </a:p>
        </c:rich>
      </c:tx>
      <c:layout>
        <c:manualLayout>
          <c:xMode val="edge"/>
          <c:yMode val="edge"/>
          <c:x val="0.15270250099786381"/>
          <c:y val="3.490084861275997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G"/>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0213659897000383E-2"/>
          <c:y val="0.13571849867325503"/>
          <c:w val="0.91489171543507619"/>
          <c:h val="0.71926135945308822"/>
        </c:manualLayout>
      </c:layout>
      <c:barChart>
        <c:barDir val="col"/>
        <c:grouping val="clustered"/>
        <c:varyColors val="0"/>
        <c:ser>
          <c:idx val="0"/>
          <c:order val="0"/>
          <c:tx>
            <c:strRef>
              <c:f>'Pivot Tables'!$L$3</c:f>
              <c:strCache>
                <c:ptCount val="1"/>
                <c:pt idx="0">
                  <c:v>Sum of Number of POS</c:v>
                </c:pt>
              </c:strCache>
            </c:strRef>
          </c:tx>
          <c:spPr>
            <a:solidFill>
              <a:schemeClr val="accent2">
                <a:shade val="76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Tables'!$K$4:$K$21</c:f>
              <c:strCache>
                <c:ptCount val="17"/>
                <c:pt idx="0">
                  <c:v>OBA FRIDAY</c:v>
                </c:pt>
                <c:pt idx="1">
                  <c:v>LUCKY OISEOMOKHAI</c:v>
                </c:pt>
                <c:pt idx="2">
                  <c:v>OYENIYI QUDUS</c:v>
                </c:pt>
                <c:pt idx="3">
                  <c:v>JEGEDE OLUWAKEMI VICTORIA</c:v>
                </c:pt>
                <c:pt idx="4">
                  <c:v>SAMUEL OLAWALE BODUNDE</c:v>
                </c:pt>
                <c:pt idx="5">
                  <c:v>ENUDI ISIOMA SANDRA</c:v>
                </c:pt>
                <c:pt idx="6">
                  <c:v>OLADIPO ADAMOLEKUN</c:v>
                </c:pt>
                <c:pt idx="7">
                  <c:v>ADESHINA SHERIFF ADELEKE</c:v>
                </c:pt>
                <c:pt idx="8">
                  <c:v>AYORINDE OMOWUMI</c:v>
                </c:pt>
                <c:pt idx="9">
                  <c:v>BASHAR YAKUB ABDULAZEEZ</c:v>
                </c:pt>
                <c:pt idx="10">
                  <c:v>ALINTA CHUKWU</c:v>
                </c:pt>
                <c:pt idx="11">
                  <c:v>DURUAKU CHUKWUDI PRISDOM</c:v>
                </c:pt>
                <c:pt idx="12">
                  <c:v>FATOKE ADEWALE OMOTAYO</c:v>
                </c:pt>
                <c:pt idx="13">
                  <c:v>ABDULRAHEEM AHMED</c:v>
                </c:pt>
                <c:pt idx="14">
                  <c:v>MOSES JOSEPH ATUNGWU</c:v>
                </c:pt>
                <c:pt idx="15">
                  <c:v>UDUEBOR, MARVELOUS IHENYEN</c:v>
                </c:pt>
                <c:pt idx="16">
                  <c:v>Afeez Lawal</c:v>
                </c:pt>
              </c:strCache>
            </c:strRef>
          </c:cat>
          <c:val>
            <c:numRef>
              <c:f>'Pivot Tables'!$L$4:$L$21</c:f>
              <c:numCache>
                <c:formatCode>General</c:formatCode>
                <c:ptCount val="17"/>
                <c:pt idx="0">
                  <c:v>1912</c:v>
                </c:pt>
                <c:pt idx="1">
                  <c:v>1823</c:v>
                </c:pt>
                <c:pt idx="2">
                  <c:v>1681</c:v>
                </c:pt>
                <c:pt idx="3">
                  <c:v>1530</c:v>
                </c:pt>
                <c:pt idx="4">
                  <c:v>1437</c:v>
                </c:pt>
                <c:pt idx="5">
                  <c:v>1316</c:v>
                </c:pt>
                <c:pt idx="6">
                  <c:v>1079</c:v>
                </c:pt>
                <c:pt idx="7">
                  <c:v>960</c:v>
                </c:pt>
                <c:pt idx="8">
                  <c:v>838</c:v>
                </c:pt>
                <c:pt idx="9">
                  <c:v>690</c:v>
                </c:pt>
                <c:pt idx="10">
                  <c:v>660</c:v>
                </c:pt>
                <c:pt idx="11">
                  <c:v>538</c:v>
                </c:pt>
                <c:pt idx="12">
                  <c:v>446</c:v>
                </c:pt>
                <c:pt idx="13">
                  <c:v>412</c:v>
                </c:pt>
                <c:pt idx="14">
                  <c:v>286</c:v>
                </c:pt>
                <c:pt idx="15">
                  <c:v>74</c:v>
                </c:pt>
                <c:pt idx="16">
                  <c:v>17</c:v>
                </c:pt>
              </c:numCache>
            </c:numRef>
          </c:val>
          <c:extLst>
            <c:ext xmlns:c16="http://schemas.microsoft.com/office/drawing/2014/chart" uri="{C3380CC4-5D6E-409C-BE32-E72D297353CC}">
              <c16:uniqueId val="{00000000-5920-49FB-9D24-00B45F06129F}"/>
            </c:ext>
          </c:extLst>
        </c:ser>
        <c:ser>
          <c:idx val="1"/>
          <c:order val="1"/>
          <c:tx>
            <c:strRef>
              <c:f>'Pivot Tables'!$M$3</c:f>
              <c:strCache>
                <c:ptCount val="1"/>
                <c:pt idx="0">
                  <c:v>Sum of Active POS</c:v>
                </c:pt>
              </c:strCache>
            </c:strRef>
          </c:tx>
          <c:spPr>
            <a:solidFill>
              <a:schemeClr val="accent2">
                <a:tint val="77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Tables'!$K$4:$K$21</c:f>
              <c:strCache>
                <c:ptCount val="17"/>
                <c:pt idx="0">
                  <c:v>OBA FRIDAY</c:v>
                </c:pt>
                <c:pt idx="1">
                  <c:v>LUCKY OISEOMOKHAI</c:v>
                </c:pt>
                <c:pt idx="2">
                  <c:v>OYENIYI QUDUS</c:v>
                </c:pt>
                <c:pt idx="3">
                  <c:v>JEGEDE OLUWAKEMI VICTORIA</c:v>
                </c:pt>
                <c:pt idx="4">
                  <c:v>SAMUEL OLAWALE BODUNDE</c:v>
                </c:pt>
                <c:pt idx="5">
                  <c:v>ENUDI ISIOMA SANDRA</c:v>
                </c:pt>
                <c:pt idx="6">
                  <c:v>OLADIPO ADAMOLEKUN</c:v>
                </c:pt>
                <c:pt idx="7">
                  <c:v>ADESHINA SHERIFF ADELEKE</c:v>
                </c:pt>
                <c:pt idx="8">
                  <c:v>AYORINDE OMOWUMI</c:v>
                </c:pt>
                <c:pt idx="9">
                  <c:v>BASHAR YAKUB ABDULAZEEZ</c:v>
                </c:pt>
                <c:pt idx="10">
                  <c:v>ALINTA CHUKWU</c:v>
                </c:pt>
                <c:pt idx="11">
                  <c:v>DURUAKU CHUKWUDI PRISDOM</c:v>
                </c:pt>
                <c:pt idx="12">
                  <c:v>FATOKE ADEWALE OMOTAYO</c:v>
                </c:pt>
                <c:pt idx="13">
                  <c:v>ABDULRAHEEM AHMED</c:v>
                </c:pt>
                <c:pt idx="14">
                  <c:v>MOSES JOSEPH ATUNGWU</c:v>
                </c:pt>
                <c:pt idx="15">
                  <c:v>UDUEBOR, MARVELOUS IHENYEN</c:v>
                </c:pt>
                <c:pt idx="16">
                  <c:v>Afeez Lawal</c:v>
                </c:pt>
              </c:strCache>
            </c:strRef>
          </c:cat>
          <c:val>
            <c:numRef>
              <c:f>'Pivot Tables'!$M$4:$M$21</c:f>
              <c:numCache>
                <c:formatCode>General</c:formatCode>
                <c:ptCount val="17"/>
                <c:pt idx="0">
                  <c:v>752</c:v>
                </c:pt>
                <c:pt idx="1">
                  <c:v>1019</c:v>
                </c:pt>
                <c:pt idx="2">
                  <c:v>897</c:v>
                </c:pt>
                <c:pt idx="3">
                  <c:v>577</c:v>
                </c:pt>
                <c:pt idx="4">
                  <c:v>683</c:v>
                </c:pt>
                <c:pt idx="5">
                  <c:v>633</c:v>
                </c:pt>
                <c:pt idx="6">
                  <c:v>523</c:v>
                </c:pt>
                <c:pt idx="7">
                  <c:v>383</c:v>
                </c:pt>
                <c:pt idx="8">
                  <c:v>341</c:v>
                </c:pt>
                <c:pt idx="9">
                  <c:v>333</c:v>
                </c:pt>
                <c:pt idx="10">
                  <c:v>405</c:v>
                </c:pt>
                <c:pt idx="11">
                  <c:v>204</c:v>
                </c:pt>
                <c:pt idx="12">
                  <c:v>167</c:v>
                </c:pt>
                <c:pt idx="13">
                  <c:v>170</c:v>
                </c:pt>
                <c:pt idx="14">
                  <c:v>112</c:v>
                </c:pt>
                <c:pt idx="15">
                  <c:v>42</c:v>
                </c:pt>
                <c:pt idx="16">
                  <c:v>14</c:v>
                </c:pt>
              </c:numCache>
            </c:numRef>
          </c:val>
          <c:extLst>
            <c:ext xmlns:c16="http://schemas.microsoft.com/office/drawing/2014/chart" uri="{C3380CC4-5D6E-409C-BE32-E72D297353CC}">
              <c16:uniqueId val="{00000001-5920-49FB-9D24-00B45F06129F}"/>
            </c:ext>
          </c:extLst>
        </c:ser>
        <c:dLbls>
          <c:showLegendKey val="0"/>
          <c:showVal val="0"/>
          <c:showCatName val="0"/>
          <c:showSerName val="0"/>
          <c:showPercent val="0"/>
          <c:showBubbleSize val="0"/>
        </c:dLbls>
        <c:gapWidth val="40"/>
        <c:overlap val="-27"/>
        <c:axId val="701694303"/>
        <c:axId val="697750495"/>
      </c:barChart>
      <c:catAx>
        <c:axId val="7016943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697750495"/>
        <c:crosses val="autoZero"/>
        <c:auto val="1"/>
        <c:lblAlgn val="ctr"/>
        <c:lblOffset val="100"/>
        <c:noMultiLvlLbl val="0"/>
      </c:catAx>
      <c:valAx>
        <c:axId val="697750495"/>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701694303"/>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[Nownow automated sales dashboardDemo2 - Copy.xlsm]Pivot Tables!PivotTable8</c:name>
    <c:fmtId val="2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POS Transactions Count</a:t>
            </a:r>
          </a:p>
        </c:rich>
      </c:tx>
      <c:layout>
        <c:manualLayout>
          <c:xMode val="edge"/>
          <c:yMode val="edge"/>
          <c:x val="0.25089328102746056"/>
          <c:y val="2.47970514288243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G"/>
        </a:p>
      </c:txPr>
    </c:title>
    <c:autoTitleDeleted val="0"/>
    <c:pivotFmts>
      <c:pivotFmt>
        <c:idx val="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Tables'!$O$3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Tables'!$N$4:$N$21</c:f>
              <c:strCache>
                <c:ptCount val="17"/>
                <c:pt idx="0">
                  <c:v>LUCKY OISEOMOKHAI</c:v>
                </c:pt>
                <c:pt idx="1">
                  <c:v>OYENIYI QUDUS</c:v>
                </c:pt>
                <c:pt idx="2">
                  <c:v>SAMUEL OLAWALE BODUNDE</c:v>
                </c:pt>
                <c:pt idx="3">
                  <c:v>OBA FRIDAY</c:v>
                </c:pt>
                <c:pt idx="4">
                  <c:v>OLADIPO ADAMOLEKUN</c:v>
                </c:pt>
                <c:pt idx="5">
                  <c:v>ENUDI ISIOMA SANDRA</c:v>
                </c:pt>
                <c:pt idx="6">
                  <c:v>ALINTA CHUKWU</c:v>
                </c:pt>
                <c:pt idx="7">
                  <c:v>JEGEDE OLUWAKEMI VICTORIA</c:v>
                </c:pt>
                <c:pt idx="8">
                  <c:v>AYORINDE OMOWUMI</c:v>
                </c:pt>
                <c:pt idx="9">
                  <c:v>ADESHINA SHERIFF ADELEKE</c:v>
                </c:pt>
                <c:pt idx="10">
                  <c:v>BASHAR YAKUB ABDULAZEEZ</c:v>
                </c:pt>
                <c:pt idx="11">
                  <c:v>DURUAKU CHUKWUDI PRISDOM</c:v>
                </c:pt>
                <c:pt idx="12">
                  <c:v>FATOKE ADEWALE OMOTAYO</c:v>
                </c:pt>
                <c:pt idx="13">
                  <c:v>ABDULRAHEEM AHMED</c:v>
                </c:pt>
                <c:pt idx="14">
                  <c:v>MOSES JOSEPH ATUNGWU</c:v>
                </c:pt>
                <c:pt idx="15">
                  <c:v>UDUEBOR, MARVELOUS IHENYEN</c:v>
                </c:pt>
                <c:pt idx="16">
                  <c:v>Afeez Lawal</c:v>
                </c:pt>
              </c:strCache>
            </c:strRef>
          </c:cat>
          <c:val>
            <c:numRef>
              <c:f>'Pivot Tables'!$O$4:$O$21</c:f>
              <c:numCache>
                <c:formatCode>General</c:formatCode>
                <c:ptCount val="17"/>
                <c:pt idx="0">
                  <c:v>56965</c:v>
                </c:pt>
                <c:pt idx="1">
                  <c:v>45809</c:v>
                </c:pt>
                <c:pt idx="2">
                  <c:v>44132</c:v>
                </c:pt>
                <c:pt idx="3">
                  <c:v>37244</c:v>
                </c:pt>
                <c:pt idx="4">
                  <c:v>36206</c:v>
                </c:pt>
                <c:pt idx="5">
                  <c:v>29109</c:v>
                </c:pt>
                <c:pt idx="6">
                  <c:v>25768</c:v>
                </c:pt>
                <c:pt idx="7">
                  <c:v>24905</c:v>
                </c:pt>
                <c:pt idx="8">
                  <c:v>18734</c:v>
                </c:pt>
                <c:pt idx="9">
                  <c:v>17721</c:v>
                </c:pt>
                <c:pt idx="10">
                  <c:v>15892</c:v>
                </c:pt>
                <c:pt idx="11">
                  <c:v>7963</c:v>
                </c:pt>
                <c:pt idx="12">
                  <c:v>7578</c:v>
                </c:pt>
                <c:pt idx="13">
                  <c:v>6795</c:v>
                </c:pt>
                <c:pt idx="14">
                  <c:v>4855</c:v>
                </c:pt>
                <c:pt idx="15">
                  <c:v>1222</c:v>
                </c:pt>
                <c:pt idx="16">
                  <c:v>0</c:v>
                </c:pt>
              </c:numCache>
            </c:numRef>
          </c:val>
          <c:extLst>
            <c:ext xmlns:c16="http://schemas.microsoft.com/office/drawing/2014/chart" uri="{C3380CC4-5D6E-409C-BE32-E72D297353CC}">
              <c16:uniqueId val="{00000000-96DC-476D-B0AF-409C63B28DF7}"/>
            </c:ext>
          </c:extLst>
        </c:ser>
        <c:dLbls>
          <c:showLegendKey val="0"/>
          <c:showVal val="0"/>
          <c:showCatName val="0"/>
          <c:showSerName val="0"/>
          <c:showPercent val="0"/>
          <c:showBubbleSize val="0"/>
        </c:dLbls>
        <c:gapWidth val="40"/>
        <c:overlap val="-27"/>
        <c:axId val="756217055"/>
        <c:axId val="704574655"/>
      </c:barChart>
      <c:catAx>
        <c:axId val="7562170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704574655"/>
        <c:crosses val="autoZero"/>
        <c:auto val="1"/>
        <c:lblAlgn val="ctr"/>
        <c:lblOffset val="100"/>
        <c:noMultiLvlLbl val="0"/>
      </c:catAx>
      <c:valAx>
        <c:axId val="704574655"/>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75621705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[Nownow automated sales dashboardDemo2 - Copy.xlsm]Pivot Tables!PivotTable9</c:name>
    <c:fmtId val="2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POS</a:t>
            </a:r>
            <a:r>
              <a:rPr lang="en-US" b="1" baseline="0"/>
              <a:t> Transactions Value</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G"/>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Tables'!$Q$3</c:f>
              <c:strCache>
                <c:ptCount val="1"/>
                <c:pt idx="0">
                  <c:v>Total</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Tables'!$P$4:$P$21</c:f>
              <c:strCache>
                <c:ptCount val="17"/>
                <c:pt idx="0">
                  <c:v>Afeez Lawal</c:v>
                </c:pt>
                <c:pt idx="1">
                  <c:v>UDUEBOR, MARVELOUS IHENYEN</c:v>
                </c:pt>
                <c:pt idx="2">
                  <c:v>MOSES JOSEPH ATUNGWU</c:v>
                </c:pt>
                <c:pt idx="3">
                  <c:v>ABDULRAHEEM AHMED</c:v>
                </c:pt>
                <c:pt idx="4">
                  <c:v>FATOKE ADEWALE OMOTAYO</c:v>
                </c:pt>
                <c:pt idx="5">
                  <c:v>DURUAKU CHUKWUDI PRISDOM</c:v>
                </c:pt>
                <c:pt idx="6">
                  <c:v>ADESHINA SHERIFF ADELEKE</c:v>
                </c:pt>
                <c:pt idx="7">
                  <c:v>BASHAR YAKUB ABDULAZEEZ</c:v>
                </c:pt>
                <c:pt idx="8">
                  <c:v>AYORINDE OMOWUMI</c:v>
                </c:pt>
                <c:pt idx="9">
                  <c:v>ALINTA CHUKWU</c:v>
                </c:pt>
                <c:pt idx="10">
                  <c:v>JEGEDE OLUWAKEMI VICTORIA</c:v>
                </c:pt>
                <c:pt idx="11">
                  <c:v>ENUDI ISIOMA SANDRA</c:v>
                </c:pt>
                <c:pt idx="12">
                  <c:v>OBA FRIDAY</c:v>
                </c:pt>
                <c:pt idx="13">
                  <c:v>OLADIPO ADAMOLEKUN</c:v>
                </c:pt>
                <c:pt idx="14">
                  <c:v>SAMUEL OLAWALE BODUNDE</c:v>
                </c:pt>
                <c:pt idx="15">
                  <c:v>OYENIYI QUDUS</c:v>
                </c:pt>
                <c:pt idx="16">
                  <c:v>LUCKY OISEOMOKHAI</c:v>
                </c:pt>
              </c:strCache>
            </c:strRef>
          </c:cat>
          <c:val>
            <c:numRef>
              <c:f>'Pivot Tables'!$Q$4:$Q$21</c:f>
              <c:numCache>
                <c:formatCode>General</c:formatCode>
                <c:ptCount val="17"/>
                <c:pt idx="0">
                  <c:v>0</c:v>
                </c:pt>
                <c:pt idx="1">
                  <c:v>12498678</c:v>
                </c:pt>
                <c:pt idx="2">
                  <c:v>45065141</c:v>
                </c:pt>
                <c:pt idx="3">
                  <c:v>71649561</c:v>
                </c:pt>
                <c:pt idx="4">
                  <c:v>94441230</c:v>
                </c:pt>
                <c:pt idx="5">
                  <c:v>97360566</c:v>
                </c:pt>
                <c:pt idx="6">
                  <c:v>135405384</c:v>
                </c:pt>
                <c:pt idx="7">
                  <c:v>187759874</c:v>
                </c:pt>
                <c:pt idx="8">
                  <c:v>200763714</c:v>
                </c:pt>
                <c:pt idx="9">
                  <c:v>232050507</c:v>
                </c:pt>
                <c:pt idx="10">
                  <c:v>242498841</c:v>
                </c:pt>
                <c:pt idx="11">
                  <c:v>335946132</c:v>
                </c:pt>
                <c:pt idx="12">
                  <c:v>362518059</c:v>
                </c:pt>
                <c:pt idx="13">
                  <c:v>422767689</c:v>
                </c:pt>
                <c:pt idx="14">
                  <c:v>423674979</c:v>
                </c:pt>
                <c:pt idx="15">
                  <c:v>498932363</c:v>
                </c:pt>
                <c:pt idx="16">
                  <c:v>596787593</c:v>
                </c:pt>
              </c:numCache>
            </c:numRef>
          </c:val>
          <c:extLst>
            <c:ext xmlns:c16="http://schemas.microsoft.com/office/drawing/2014/chart" uri="{C3380CC4-5D6E-409C-BE32-E72D297353CC}">
              <c16:uniqueId val="{00000000-CE31-486B-8600-4A5F2D0E40DB}"/>
            </c:ext>
          </c:extLst>
        </c:ser>
        <c:dLbls>
          <c:showLegendKey val="0"/>
          <c:showVal val="0"/>
          <c:showCatName val="0"/>
          <c:showSerName val="0"/>
          <c:showPercent val="0"/>
          <c:showBubbleSize val="0"/>
        </c:dLbls>
        <c:gapWidth val="40"/>
        <c:axId val="653463071"/>
        <c:axId val="758003423"/>
      </c:barChart>
      <c:catAx>
        <c:axId val="65346307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758003423"/>
        <c:crosses val="autoZero"/>
        <c:auto val="1"/>
        <c:lblAlgn val="ctr"/>
        <c:lblOffset val="100"/>
        <c:noMultiLvlLbl val="0"/>
      </c:catAx>
      <c:valAx>
        <c:axId val="75800342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6534630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withinLinear" id="15">
  <a:schemeClr val="accent2"/>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image" Target="../media/image1.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3</xdr:row>
      <xdr:rowOff>11339</xdr:rowOff>
    </xdr:from>
    <xdr:to>
      <xdr:col>2</xdr:col>
      <xdr:colOff>604157</xdr:colOff>
      <xdr:row>16</xdr:row>
      <xdr:rowOff>29482</xdr:rowOff>
    </xdr:to>
    <mc:AlternateContent xmlns:mc="http://schemas.openxmlformats.org/markup-compatibility/2006" xmlns:a14="http://schemas.microsoft.com/office/drawing/2010/main">
      <mc:Choice Requires="a14">
        <xdr:graphicFrame macro="">
          <xdr:nvGraphicFramePr>
            <xdr:cNvPr id="8" name="BDM Name">
              <a:extLst>
                <a:ext uri="{FF2B5EF4-FFF2-40B4-BE49-F238E27FC236}">
                  <a16:creationId xmlns:a16="http://schemas.microsoft.com/office/drawing/2014/main" id="{797D85F7-2A06-48BC-8052-4A4B2229D3A0}"/>
                </a:ext>
              </a:extLst>
            </xdr:cNvPr>
            <xdr:cNvGraphicFramePr/>
          </xdr:nvGraphicFramePr>
          <xdr:xfrm>
            <a:off x="0" y="0"/>
            <a:ext cx="0" cy="0"/>
          </xdr:xfrm>
          <a:graphic>
            <a:graphicData uri="http://schemas.microsoft.com/office/drawing/2010/slicer">
              <sle:slicer xmlns:sle="http://schemas.microsoft.com/office/drawing/2010/slicer" name="BDM Name"/>
            </a:graphicData>
          </a:graphic>
        </xdr:graphicFrame>
      </mc:Choice>
      <mc:Fallback xmlns="">
        <xdr:sp macro="" textlink="">
          <xdr:nvSpPr>
            <xdr:cNvPr id="0" name=""/>
            <xdr:cNvSpPr>
              <a:spLocks noTextEdit="1"/>
            </xdr:cNvSpPr>
          </xdr:nvSpPr>
          <xdr:spPr>
            <a:xfrm>
              <a:off x="0" y="850446"/>
              <a:ext cx="1828800" cy="2524125"/>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16</xdr:row>
      <xdr:rowOff>56697</xdr:rowOff>
    </xdr:from>
    <xdr:to>
      <xdr:col>2</xdr:col>
      <xdr:colOff>604157</xdr:colOff>
      <xdr:row>28</xdr:row>
      <xdr:rowOff>176893</xdr:rowOff>
    </xdr:to>
    <mc:AlternateContent xmlns:mc="http://schemas.openxmlformats.org/markup-compatibility/2006" xmlns:a14="http://schemas.microsoft.com/office/drawing/2010/main">
      <mc:Choice Requires="a14">
        <xdr:graphicFrame macro="">
          <xdr:nvGraphicFramePr>
            <xdr:cNvPr id="9" name="RM Name">
              <a:extLst>
                <a:ext uri="{FF2B5EF4-FFF2-40B4-BE49-F238E27FC236}">
                  <a16:creationId xmlns:a16="http://schemas.microsoft.com/office/drawing/2014/main" id="{506760EF-D338-44CA-AD0B-B9384D8D785E}"/>
                </a:ext>
              </a:extLst>
            </xdr:cNvPr>
            <xdr:cNvGraphicFramePr/>
          </xdr:nvGraphicFramePr>
          <xdr:xfrm>
            <a:off x="0" y="0"/>
            <a:ext cx="0" cy="0"/>
          </xdr:xfrm>
          <a:graphic>
            <a:graphicData uri="http://schemas.microsoft.com/office/drawing/2010/slicer">
              <sle:slicer xmlns:sle="http://schemas.microsoft.com/office/drawing/2010/slicer" name="RM Name"/>
            </a:graphicData>
          </a:graphic>
        </xdr:graphicFrame>
      </mc:Choice>
      <mc:Fallback xmlns="">
        <xdr:sp macro="" textlink="">
          <xdr:nvSpPr>
            <xdr:cNvPr id="0" name=""/>
            <xdr:cNvSpPr>
              <a:spLocks noTextEdit="1"/>
            </xdr:cNvSpPr>
          </xdr:nvSpPr>
          <xdr:spPr>
            <a:xfrm>
              <a:off x="0" y="3401786"/>
              <a:ext cx="1828800" cy="2524125"/>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26</xdr:row>
      <xdr:rowOff>45356</xdr:rowOff>
    </xdr:from>
    <xdr:to>
      <xdr:col>2</xdr:col>
      <xdr:colOff>604157</xdr:colOff>
      <xdr:row>39</xdr:row>
      <xdr:rowOff>63499</xdr:rowOff>
    </xdr:to>
    <mc:AlternateContent xmlns:mc="http://schemas.openxmlformats.org/markup-compatibility/2006" xmlns:a14="http://schemas.microsoft.com/office/drawing/2010/main">
      <mc:Choice Requires="a14">
        <xdr:graphicFrame macro="">
          <xdr:nvGraphicFramePr>
            <xdr:cNvPr id="10" name="State">
              <a:extLst>
                <a:ext uri="{FF2B5EF4-FFF2-40B4-BE49-F238E27FC236}">
                  <a16:creationId xmlns:a16="http://schemas.microsoft.com/office/drawing/2014/main" id="{7A8BEA95-2942-489E-91BA-1BE68F573F09}"/>
                </a:ext>
              </a:extLst>
            </xdr:cNvPr>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mlns="">
        <xdr:sp macro="" textlink="">
          <xdr:nvSpPr>
            <xdr:cNvPr id="0" name=""/>
            <xdr:cNvSpPr>
              <a:spLocks noTextEdit="1"/>
            </xdr:cNvSpPr>
          </xdr:nvSpPr>
          <xdr:spPr>
            <a:xfrm>
              <a:off x="0" y="5408838"/>
              <a:ext cx="1828800" cy="2524125"/>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22679</xdr:colOff>
      <xdr:row>3</xdr:row>
      <xdr:rowOff>170091</xdr:rowOff>
    </xdr:from>
    <xdr:to>
      <xdr:col>13</xdr:col>
      <xdr:colOff>374196</xdr:colOff>
      <xdr:row>21</xdr:row>
      <xdr:rowOff>181428</xdr:rowOff>
    </xdr:to>
    <xdr:graphicFrame macro="">
      <xdr:nvGraphicFramePr>
        <xdr:cNvPr id="11" name="Chart 10">
          <a:extLst>
            <a:ext uri="{FF2B5EF4-FFF2-40B4-BE49-F238E27FC236}">
              <a16:creationId xmlns:a16="http://schemas.microsoft.com/office/drawing/2014/main" id="{109B9762-5597-4F1C-9BC8-0B5D9121A7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340178</xdr:colOff>
      <xdr:row>3</xdr:row>
      <xdr:rowOff>0</xdr:rowOff>
    </xdr:from>
    <xdr:to>
      <xdr:col>23</xdr:col>
      <xdr:colOff>433161</xdr:colOff>
      <xdr:row>22</xdr:row>
      <xdr:rowOff>11340</xdr:rowOff>
    </xdr:to>
    <xdr:graphicFrame macro="">
      <xdr:nvGraphicFramePr>
        <xdr:cNvPr id="12" name="Chart 11">
          <a:extLst>
            <a:ext uri="{FF2B5EF4-FFF2-40B4-BE49-F238E27FC236}">
              <a16:creationId xmlns:a16="http://schemas.microsoft.com/office/drawing/2014/main" id="{0932F2E5-B50B-4A21-8E8B-7B0EBD3C93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124734</xdr:colOff>
      <xdr:row>24</xdr:row>
      <xdr:rowOff>136072</xdr:rowOff>
    </xdr:from>
    <xdr:to>
      <xdr:col>14</xdr:col>
      <xdr:colOff>306164</xdr:colOff>
      <xdr:row>45</xdr:row>
      <xdr:rowOff>11341</xdr:rowOff>
    </xdr:to>
    <xdr:graphicFrame macro="">
      <xdr:nvGraphicFramePr>
        <xdr:cNvPr id="13" name="Chart 12">
          <a:extLst>
            <a:ext uri="{FF2B5EF4-FFF2-40B4-BE49-F238E27FC236}">
              <a16:creationId xmlns:a16="http://schemas.microsoft.com/office/drawing/2014/main" id="{0899B238-F39F-4555-B75F-2CC14E0DD8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600982</xdr:colOff>
      <xdr:row>24</xdr:row>
      <xdr:rowOff>45358</xdr:rowOff>
    </xdr:from>
    <xdr:to>
      <xdr:col>24</xdr:col>
      <xdr:colOff>92982</xdr:colOff>
      <xdr:row>45</xdr:row>
      <xdr:rowOff>0</xdr:rowOff>
    </xdr:to>
    <xdr:graphicFrame macro="">
      <xdr:nvGraphicFramePr>
        <xdr:cNvPr id="14" name="Chart 13">
          <a:extLst>
            <a:ext uri="{FF2B5EF4-FFF2-40B4-BE49-F238E27FC236}">
              <a16:creationId xmlns:a16="http://schemas.microsoft.com/office/drawing/2014/main" id="{1AE43928-CB06-4F32-8EF2-6ED5C18AAEE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1020537</xdr:colOff>
      <xdr:row>47</xdr:row>
      <xdr:rowOff>170088</xdr:rowOff>
    </xdr:from>
    <xdr:to>
      <xdr:col>13</xdr:col>
      <xdr:colOff>11339</xdr:colOff>
      <xdr:row>71</xdr:row>
      <xdr:rowOff>22679</xdr:rowOff>
    </xdr:to>
    <xdr:graphicFrame macro="">
      <xdr:nvGraphicFramePr>
        <xdr:cNvPr id="15" name="Chart 14">
          <a:extLst>
            <a:ext uri="{FF2B5EF4-FFF2-40B4-BE49-F238E27FC236}">
              <a16:creationId xmlns:a16="http://schemas.microsoft.com/office/drawing/2014/main" id="{99AFA727-E5B5-4A99-9CAF-0E636CD0D0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317500</xdr:colOff>
      <xdr:row>47</xdr:row>
      <xdr:rowOff>34016</xdr:rowOff>
    </xdr:from>
    <xdr:to>
      <xdr:col>24</xdr:col>
      <xdr:colOff>396874</xdr:colOff>
      <xdr:row>71</xdr:row>
      <xdr:rowOff>34018</xdr:rowOff>
    </xdr:to>
    <xdr:graphicFrame macro="">
      <xdr:nvGraphicFramePr>
        <xdr:cNvPr id="16" name="Chart 15">
          <a:extLst>
            <a:ext uri="{FF2B5EF4-FFF2-40B4-BE49-F238E27FC236}">
              <a16:creationId xmlns:a16="http://schemas.microsoft.com/office/drawing/2014/main" id="{947F7639-09AD-481B-9577-37D9A1E6FF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3</xdr:col>
      <xdr:colOff>283483</xdr:colOff>
      <xdr:row>0</xdr:row>
      <xdr:rowOff>1</xdr:rowOff>
    </xdr:from>
    <xdr:to>
      <xdr:col>8</xdr:col>
      <xdr:colOff>34018</xdr:colOff>
      <xdr:row>0</xdr:row>
      <xdr:rowOff>351519</xdr:rowOff>
    </xdr:to>
    <xdr:pic>
      <xdr:nvPicPr>
        <xdr:cNvPr id="4" name="Picture 3">
          <a:extLst>
            <a:ext uri="{FF2B5EF4-FFF2-40B4-BE49-F238E27FC236}">
              <a16:creationId xmlns:a16="http://schemas.microsoft.com/office/drawing/2014/main" id="{CE14E4D4-E64E-3AC1-F68F-F495FB590E7B}"/>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120447" y="1"/>
          <a:ext cx="3821339" cy="351518"/>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hael Babalola" refreshedDate="45204.43482141204" createdVersion="8" refreshedVersion="8" minRefreshableVersion="3" recordCount="240" xr:uid="{AE7260C9-60E1-4662-87AF-E411EF1F1710}">
  <cacheSource type="worksheet">
    <worksheetSource name="Autorefresh"/>
  </cacheSource>
  <cacheFields count="12">
    <cacheField name="BDE Name" numFmtId="0">
      <sharedItems/>
    </cacheField>
    <cacheField name="BDM Name" numFmtId="0">
      <sharedItems count="17">
        <s v="OBA FRIDAY"/>
        <s v="SAMUEL OLAWALE BODUNDE"/>
        <s v="OYENIYI QUDUS"/>
        <s v="JEGEDE OLUWAKEMI VICTORIA"/>
        <s v="AYORINDE OMOWUMI"/>
        <s v="MOSES JOSEPH ATUNGWU"/>
        <s v="ABDULRAHEEM AHMED"/>
        <s v="ADESHINA SHERIFF ADELEKE"/>
        <s v="OLADIPO ADAMOLEKUN"/>
        <s v="BASHAR YAKUB ABDULAZEEZ"/>
        <s v="LUCKY OISEOMOKHAI"/>
        <s v="ALINTA CHUKWU"/>
        <s v="ENUDI ISIOMA SANDRA"/>
        <s v="DURUAKU CHUKWUDI PRISDOM"/>
        <s v="UDUEBOR, MARVELOUS IHENYEN"/>
        <s v="FATOKE ADEWALE OMOTAYO"/>
        <s v="Afeez Lawal"/>
      </sharedItems>
    </cacheField>
    <cacheField name="RM Name" numFmtId="0">
      <sharedItems containsBlank="1" count="6">
        <s v="Ozioko Nkem"/>
        <s v="Ekerette George"/>
        <s v="Augustine Idoko"/>
        <s v="IBEGBULEM EZENWACHIDI"/>
        <s v="Nnachi Collins Nnanna"/>
        <m/>
      </sharedItems>
    </cacheField>
    <cacheField name="State" numFmtId="0">
      <sharedItems count="33">
        <s v="LAGOS"/>
        <s v="OYO"/>
        <s v="OGUN"/>
        <s v="OSUN"/>
        <s v="ONDO"/>
        <s v="EKITI"/>
        <s v="FCT"/>
        <s v="NASSARAWA"/>
        <s v="BENUE"/>
        <s v="KOGI"/>
        <s v="PLATEAU"/>
        <s v="TARABA"/>
        <s v="KADUNA"/>
        <s v="NIGER"/>
        <s v="KWARA"/>
        <s v="KANO"/>
        <s v="KATSINA"/>
        <s v="JIGAWA"/>
        <s v="KEBBI"/>
        <s v="SOKOTO"/>
        <s v="RIVERS"/>
        <s v="EDO"/>
        <s v="AKWA IBOM"/>
        <s v="CROSS RIVER"/>
        <s v="DELTA"/>
        <s v="IMO"/>
        <s v="ENUGU"/>
        <s v="GOMBE"/>
        <s v="BAUCHI"/>
        <s v="ADAMAWA"/>
        <s v="BORNO"/>
        <s v="YOBE"/>
        <s v="ZAMFARA"/>
      </sharedItems>
    </cacheField>
    <cacheField name="Agents + Merchants" numFmtId="1">
      <sharedItems containsSemiMixedTypes="0" containsString="0" containsNumber="1" containsInteger="1" minValue="0" maxValue="811"/>
    </cacheField>
    <cacheField name="Active" numFmtId="1">
      <sharedItems containsSemiMixedTypes="0" containsString="0" containsNumber="1" containsInteger="1" minValue="0" maxValue="239"/>
    </cacheField>
    <cacheField name="Transaction Count" numFmtId="1">
      <sharedItems containsSemiMixedTypes="0" containsString="0" containsNumber="1" containsInteger="1" minValue="0" maxValue="35069"/>
    </cacheField>
    <cacheField name="Transaction value" numFmtId="164">
      <sharedItems containsSemiMixedTypes="0" containsString="0" containsNumber="1" containsInteger="1" minValue="0" maxValue="401811823"/>
    </cacheField>
    <cacheField name="Number of POS" numFmtId="0">
      <sharedItems containsSemiMixedTypes="0" containsString="0" containsNumber="1" containsInteger="1" minValue="0" maxValue="304"/>
    </cacheField>
    <cacheField name="Active POS" numFmtId="1">
      <sharedItems containsSemiMixedTypes="0" containsString="0" containsNumber="1" containsInteger="1" minValue="0" maxValue="156"/>
    </cacheField>
    <cacheField name="POS transaction count" numFmtId="0">
      <sharedItems containsSemiMixedTypes="0" containsString="0" containsNumber="1" containsInteger="1" minValue="0" maxValue="20425"/>
    </cacheField>
    <cacheField name="POS transaction value" numFmtId="164">
      <sharedItems containsSemiMixedTypes="0" containsString="0" containsNumber="1" containsInteger="1" minValue="0" maxValue="193446880"/>
    </cacheField>
  </cacheFields>
  <extLst>
    <ext xmlns:x14="http://schemas.microsoft.com/office/spreadsheetml/2009/9/main" uri="{725AE2AE-9491-48be-B2B4-4EB974FC3084}">
      <x14:pivotCacheDefinition pivotCacheId="128974219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hael Babalola" refreshedDate="45204.434823148149" createdVersion="8" refreshedVersion="8" minRefreshableVersion="3" recordCount="120" xr:uid="{FDE21A15-772D-487C-8518-3EBBEFB8D106}">
  <cacheSource type="worksheet">
    <worksheetSource ref="A1:L121" sheet="Sales Raw Data"/>
  </cacheSource>
  <cacheFields count="12">
    <cacheField name="BDE Name" numFmtId="0">
      <sharedItems count="120">
        <s v="ADENIJI OLUWATOBI EBUN"/>
        <s v="AKINNAWO OLURANTI REUBEN"/>
        <s v="AJIA IBRAHIM GBENGA"/>
        <s v="ABDULHAKEEM"/>
        <s v="HELEN MODUPE OLAJIDE"/>
        <s v="MAJEKODUNMI MATTHEW OLUWADAMILARE"/>
        <s v="MERCY UZOMA OLUCHI"/>
        <s v="OMOZOLEN FRANCIS CALISTUS"/>
        <s v="KAYODE MAYOWA OBASANJO"/>
        <s v="Onum Sarduna"/>
        <s v="ADEOLA OLUWATOSIN FUNMILAYO"/>
        <s v="IWUALA AKUDO"/>
        <s v="ADENLA NURUDEEN ABAYOMI"/>
        <s v="Adeoye Akorede Oluwafemi"/>
        <s v="OLALERE OLUSHOLA ADEFEMI"/>
        <s v="AKINOLA LAWRENCE"/>
        <s v="LAWAL SAHEED ADEWALE"/>
        <s v="Ogundare Risikat Abiodun"/>
        <s v="AYENI NAOMI IMOLEAYO"/>
        <s v="OGUNDELE OLUWATOYIN"/>
        <s v="BENJAMIN WALLAH"/>
        <s v="ADESHOLA ELIJAH EKUNDAYO"/>
        <s v="JONATHAN JOSHUA AKO"/>
        <s v="PAUL OCHE ALI"/>
        <s v="ITMA CHRISTOPHER"/>
        <s v="Musa Ilyasu"/>
        <s v="Nasiru Lawal Anda"/>
        <s v="AMEDU STANLEY"/>
        <s v="UNDIBIALE WINNER ADAUMBE"/>
        <s v="IFEANYI ONYEDIKACHI"/>
        <s v="KENNETH NKEONYELLO"/>
        <s v="GODSTIME EKENECHUKWU OKORIE"/>
        <s v="Adeyeye Muideen"/>
        <s v="Fatima Opaleke"/>
        <s v="Jafaru Adamu"/>
        <s v="ALABI FEMI JOSEPH"/>
        <s v="OLATINWO MAYOWA MUKHTAR"/>
        <s v="LATINWO SAHEED DAYO"/>
        <s v="ADEKEMI TAWAKALITU BASHARU"/>
        <s v="Aighufue Musa Suleiman"/>
        <s v="ABDULRAUF ABDULLAHI KUNLE"/>
        <s v="Ibrahim Zainab Temitope"/>
        <s v="GBENGA JOHN ADAMOLEKUN"/>
        <s v="MIRABEL CHINENYE EZE"/>
        <s v="Ahmed Kazeem"/>
        <s v="EMMANUEL OLORUNLEKE ENIS"/>
        <s v="AHMAD AUDU UGBEDE"/>
        <s v="ABDULSALAM IBRAHIM ADESHINA"/>
        <s v="NAZIRU BELLO"/>
        <s v="UGBEIDE HAPPY MAXWELL"/>
        <s v="HELEN JACK SAMPSON"/>
        <s v="JUDITH ETUNNE"/>
        <s v="Chijioke Okechukwu"/>
        <s v="Peace Sampson Akpan"/>
        <s v="MAUREEN UKEME"/>
        <s v="VICTORIA CHIMUANYA"/>
        <s v="CYNTHIA UWANDU"/>
        <s v="CHIOMA ONYEMJORO"/>
        <s v="EDEM NOAH"/>
        <s v="ORDU SYLVERNUS"/>
        <s v="IGBARAGO AYODEJI"/>
        <s v="OKHEMEHIMI BENALD EROMOSE"/>
        <s v="ESHIORIAMEH SUSAN"/>
        <s v="AKINOLA IFEOLUWA OLUWATOBI"/>
        <s v="GLORIA EFFIOM BASSEY"/>
        <s v="NEKPEN IZEKOR"/>
        <s v="Okorie Nkeiruka"/>
        <s v="ONYIALOVETH IFUNANYA"/>
        <s v="NWODE EMMANUEL"/>
        <s v="UGORJI DIVINE"/>
        <s v="EGBUNA FRANCIS"/>
        <s v="ANYACHO FLORENCE"/>
        <s v="AGBAFOR HAPPINESS"/>
        <s v="OFFOEGBULEM GABRIEL"/>
        <s v="CHRIS CHIBUEZE ECHEFU"/>
        <s v="Peter Pam Dalyop"/>
        <s v="JAMES COLUMBUS"/>
        <s v="Julius John Winnew"/>
        <s v="ATAWADAN DENIS DANIEL"/>
        <s v="YAHAYA ALI"/>
        <s v="EDUOTU SOLOMON AKPOBOME"/>
        <s v="JOSHUA OSANYINBI"/>
        <s v="ATIDADE EMMANUEL OLAKUNLE"/>
        <s v="OLAKULEHIN MUSA KEHINDE"/>
        <s v="JOHN OVYE"/>
        <s v="ADELEKE HANNAH SAMUEL"/>
        <s v="Joseph Darius"/>
        <s v="Emmanuel felix"/>
        <s v="Catherine Daniel"/>
        <s v="JOY JACOB OJOCHENEMI"/>
        <s v="ABOJE JONATHAN ADEGAH"/>
        <s v="Yahaya Bello"/>
        <s v="MOSES TOLORUNSOGBON"/>
        <s v="Ajayi Rilwan Adeyemi"/>
        <s v="Oluwatimilehin Christy Omotayo"/>
        <s v="Esther Godgift"/>
        <s v="Izunna Chinenye Jane"/>
        <s v="Mercy Ogbuagu"/>
        <s v="OMOBOLANLE OBAMOYEGUN"/>
        <s v="MERCY ADEYI"/>
        <s v="KAYODE DAMILOLA ESTHER"/>
        <s v="SAKA SELIM ADEMOLA"/>
        <s v="JAMES BONIFACE"/>
        <s v="Attah Eima Ojochogu"/>
        <s v="SULYMAN HASSAN"/>
        <s v="Azurunwa Chimezie"/>
        <s v="IMOLE AYOKUNLE"/>
        <s v="ADEBISI ADETOMI OLAMIDE"/>
        <s v="AKOREDE ABDULGANIY SHEHU"/>
        <s v="CHIWUZIE VICTOR CHUKWUNONSO"/>
        <s v="BERNARD EMEKA EMMANUEL"/>
        <s v="AZEEZ IDRIS"/>
        <s v="MESOGBORIWON OLUWAGBENGA"/>
        <s v="IKEJIOFOR EKENE"/>
        <s v="BENSON NAOMI"/>
        <s v="HARRISON NELLY"/>
        <s v="JAMIU IFEDAMOLA RUKAYAT"/>
        <s v="AKANJI MATTHEW"/>
        <s v="BELLO HAMMED"/>
        <s v="AJULO OLUWATOSIN"/>
      </sharedItems>
    </cacheField>
    <cacheField name="BDM Name" numFmtId="0">
      <sharedItems/>
    </cacheField>
    <cacheField name="RM Name" numFmtId="0">
      <sharedItems containsBlank="1"/>
    </cacheField>
    <cacheField name="State" numFmtId="0">
      <sharedItems/>
    </cacheField>
    <cacheField name="Agents + Merchants" numFmtId="1">
      <sharedItems containsSemiMixedTypes="0" containsString="0" containsNumber="1" containsInteger="1" minValue="0" maxValue="811"/>
    </cacheField>
    <cacheField name="Active" numFmtId="1">
      <sharedItems containsSemiMixedTypes="0" containsString="0" containsNumber="1" containsInteger="1" minValue="0" maxValue="239"/>
    </cacheField>
    <cacheField name="Transaction Count" numFmtId="1">
      <sharedItems containsSemiMixedTypes="0" containsString="0" containsNumber="1" containsInteger="1" minValue="0" maxValue="35069"/>
    </cacheField>
    <cacheField name="Transaction value" numFmtId="164">
      <sharedItems containsSemiMixedTypes="0" containsString="0" containsNumber="1" containsInteger="1" minValue="0" maxValue="401811823"/>
    </cacheField>
    <cacheField name="Number of POS" numFmtId="1">
      <sharedItems containsSemiMixedTypes="0" containsString="0" containsNumber="1" containsInteger="1" minValue="0" maxValue="304"/>
    </cacheField>
    <cacheField name="Active POS" numFmtId="1">
      <sharedItems containsSemiMixedTypes="0" containsString="0" containsNumber="1" containsInteger="1" minValue="0" maxValue="156"/>
    </cacheField>
    <cacheField name="POS transaction count" numFmtId="1">
      <sharedItems containsSemiMixedTypes="0" containsString="0" containsNumber="1" containsInteger="1" minValue="0" maxValue="20425"/>
    </cacheField>
    <cacheField name="POS transaction value" numFmtId="164">
      <sharedItems containsSemiMixedTypes="0" containsString="0" containsNumber="1" containsInteger="1" minValue="0" maxValue="193446880"/>
    </cacheField>
  </cacheFields>
  <extLst>
    <ext xmlns:x14="http://schemas.microsoft.com/office/spreadsheetml/2009/9/main" uri="{725AE2AE-9491-48be-B2B4-4EB974FC3084}">
      <x14:pivotCacheDefinition pivotCacheId="147021205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0">
  <r>
    <s v="ADENIJI OLUWATOBI EBUN"/>
    <x v="0"/>
    <x v="0"/>
    <x v="0"/>
    <n v="448"/>
    <n v="88"/>
    <n v="7221"/>
    <n v="70679596"/>
    <n v="118"/>
    <n v="54"/>
    <n v="4559"/>
    <n v="30606970"/>
  </r>
  <r>
    <s v="AKINNAWO OLURANTI REUBEN"/>
    <x v="0"/>
    <x v="0"/>
    <x v="0"/>
    <n v="404"/>
    <n v="108"/>
    <n v="11529"/>
    <n v="121580220"/>
    <n v="162"/>
    <n v="89"/>
    <n v="6153"/>
    <n v="65154972"/>
  </r>
  <r>
    <s v="AJIA IBRAHIM GBENGA"/>
    <x v="0"/>
    <x v="0"/>
    <x v="0"/>
    <n v="255"/>
    <n v="39"/>
    <n v="4145"/>
    <n v="39395698"/>
    <n v="73"/>
    <n v="54"/>
    <n v="3303"/>
    <n v="20808270"/>
  </r>
  <r>
    <s v="ABDULHAKEEM"/>
    <x v="0"/>
    <x v="0"/>
    <x v="0"/>
    <n v="403"/>
    <n v="117"/>
    <n v="8014"/>
    <n v="107613246"/>
    <n v="101"/>
    <n v="46"/>
    <n v="3007"/>
    <n v="38467340"/>
  </r>
  <r>
    <s v="HELEN MODUPE OLAJIDE"/>
    <x v="0"/>
    <x v="0"/>
    <x v="0"/>
    <n v="363"/>
    <n v="105"/>
    <n v="7076"/>
    <n v="64972782"/>
    <n v="114"/>
    <n v="55"/>
    <n v="4005"/>
    <n v="32721652"/>
  </r>
  <r>
    <s v="MAJEKODUNMI MATTHEW OLUWADAMILARE"/>
    <x v="1"/>
    <x v="0"/>
    <x v="0"/>
    <n v="360"/>
    <n v="88"/>
    <n v="8854"/>
    <n v="114183862"/>
    <n v="140"/>
    <n v="73"/>
    <n v="4959"/>
    <n v="54854482"/>
  </r>
  <r>
    <s v="MERCY UZOMA OLUCHI"/>
    <x v="0"/>
    <x v="0"/>
    <x v="0"/>
    <n v="395"/>
    <n v="59"/>
    <n v="5679"/>
    <n v="132588853"/>
    <n v="85"/>
    <n v="33"/>
    <n v="2938"/>
    <n v="37749250"/>
  </r>
  <r>
    <s v="OMOZOLEN FRANCIS CALISTUS"/>
    <x v="0"/>
    <x v="0"/>
    <x v="0"/>
    <n v="498"/>
    <n v="73"/>
    <n v="8033"/>
    <n v="172787169"/>
    <n v="125"/>
    <n v="36"/>
    <n v="4481"/>
    <n v="60131070"/>
  </r>
  <r>
    <s v="KAYODE MAYOWA OBASANJO"/>
    <x v="0"/>
    <x v="0"/>
    <x v="0"/>
    <n v="443"/>
    <n v="87"/>
    <n v="7559"/>
    <n v="72479497"/>
    <n v="94"/>
    <n v="34"/>
    <n v="3097"/>
    <n v="23912039"/>
  </r>
  <r>
    <s v="Onum Sarduna"/>
    <x v="0"/>
    <x v="0"/>
    <x v="0"/>
    <n v="0"/>
    <n v="0"/>
    <n v="0"/>
    <n v="0"/>
    <n v="0"/>
    <n v="0"/>
    <n v="0"/>
    <n v="0"/>
  </r>
  <r>
    <s v="ADEOLA OLUWATOSIN FUNMILAYO"/>
    <x v="1"/>
    <x v="0"/>
    <x v="0"/>
    <n v="213"/>
    <n v="49"/>
    <n v="5423"/>
    <n v="88257821"/>
    <n v="77"/>
    <n v="45"/>
    <n v="2898"/>
    <n v="21721570"/>
  </r>
  <r>
    <s v="IWUALA AKUDO"/>
    <x v="1"/>
    <x v="0"/>
    <x v="0"/>
    <n v="545"/>
    <n v="154"/>
    <n v="22915"/>
    <n v="272253806"/>
    <n v="197"/>
    <n v="131"/>
    <n v="11457"/>
    <n v="112956545"/>
  </r>
  <r>
    <s v="ADENLA NURUDEEN ABAYOMI"/>
    <x v="2"/>
    <x v="1"/>
    <x v="1"/>
    <n v="388"/>
    <n v="71"/>
    <n v="6684"/>
    <n v="72889502"/>
    <n v="70"/>
    <n v="50"/>
    <n v="3496"/>
    <n v="33865474"/>
  </r>
  <r>
    <s v="Adeoye Akorede Oluwafemi"/>
    <x v="2"/>
    <x v="1"/>
    <x v="1"/>
    <n v="574"/>
    <n v="125"/>
    <n v="16240"/>
    <n v="179516513"/>
    <n v="174"/>
    <n v="104"/>
    <n v="10025"/>
    <n v="84971461"/>
  </r>
  <r>
    <s v="OLALERE OLUSHOLA ADEFEMI"/>
    <x v="2"/>
    <x v="1"/>
    <x v="1"/>
    <n v="0"/>
    <n v="0"/>
    <n v="0"/>
    <n v="0"/>
    <n v="0"/>
    <n v="0"/>
    <n v="0"/>
    <n v="0"/>
  </r>
  <r>
    <s v="AKINOLA LAWRENCE"/>
    <x v="2"/>
    <x v="1"/>
    <x v="2"/>
    <n v="0"/>
    <n v="0"/>
    <n v="0"/>
    <n v="0"/>
    <n v="0"/>
    <n v="0"/>
    <n v="0"/>
    <n v="0"/>
  </r>
  <r>
    <s v="LAWAL SAHEED ADEWALE"/>
    <x v="2"/>
    <x v="1"/>
    <x v="3"/>
    <n v="756"/>
    <n v="195"/>
    <n v="12085"/>
    <n v="154142744"/>
    <n v="155"/>
    <n v="103"/>
    <n v="7030"/>
    <n v="58186575"/>
  </r>
  <r>
    <s v="Ogundare Risikat Abiodun"/>
    <x v="2"/>
    <x v="1"/>
    <x v="3"/>
    <n v="575"/>
    <n v="119"/>
    <n v="10776"/>
    <n v="154308573"/>
    <n v="138"/>
    <n v="97"/>
    <n v="6591"/>
    <n v="61438286"/>
  </r>
  <r>
    <s v="AYENI NAOMI IMOLEAYO"/>
    <x v="2"/>
    <x v="1"/>
    <x v="4"/>
    <n v="0"/>
    <n v="0"/>
    <n v="0"/>
    <n v="0"/>
    <n v="0"/>
    <n v="0"/>
    <n v="0"/>
    <n v="0"/>
  </r>
  <r>
    <s v="OGUNDELE OLUWATOYIN"/>
    <x v="2"/>
    <x v="1"/>
    <x v="5"/>
    <n v="0"/>
    <n v="0"/>
    <n v="0"/>
    <n v="0"/>
    <n v="0"/>
    <n v="0"/>
    <n v="0"/>
    <n v="0"/>
  </r>
  <r>
    <s v="BENJAMIN WALLAH"/>
    <x v="3"/>
    <x v="2"/>
    <x v="6"/>
    <n v="543"/>
    <n v="75"/>
    <n v="5981"/>
    <n v="54065363"/>
    <n v="114"/>
    <n v="48"/>
    <n v="2797"/>
    <n v="23605760"/>
  </r>
  <r>
    <s v="ADESHOLA ELIJAH EKUNDAYO"/>
    <x v="3"/>
    <x v="2"/>
    <x v="6"/>
    <n v="466"/>
    <n v="83"/>
    <n v="7431"/>
    <n v="112732514"/>
    <n v="136"/>
    <n v="58"/>
    <n v="4617"/>
    <n v="51577872"/>
  </r>
  <r>
    <s v="JONATHAN JOSHUA AKO"/>
    <x v="3"/>
    <x v="2"/>
    <x v="7"/>
    <n v="330"/>
    <n v="36"/>
    <n v="8547"/>
    <n v="86405361"/>
    <n v="91"/>
    <n v="47"/>
    <n v="6374"/>
    <n v="50890660"/>
  </r>
  <r>
    <s v="PAUL OCHE ALI"/>
    <x v="3"/>
    <x v="2"/>
    <x v="6"/>
    <n v="349"/>
    <n v="43"/>
    <n v="2326"/>
    <n v="29619236"/>
    <n v="76"/>
    <n v="33"/>
    <n v="884"/>
    <n v="12336676"/>
  </r>
  <r>
    <s v="ITMA CHRISTOPHER"/>
    <x v="3"/>
    <x v="2"/>
    <x v="8"/>
    <n v="336"/>
    <n v="44"/>
    <n v="4518"/>
    <n v="57707740"/>
    <n v="64"/>
    <n v="38"/>
    <n v="2441"/>
    <n v="27116582"/>
  </r>
  <r>
    <s v="Musa Ilyasu"/>
    <x v="3"/>
    <x v="2"/>
    <x v="9"/>
    <n v="147"/>
    <n v="27"/>
    <n v="1350"/>
    <n v="16894555"/>
    <n v="35"/>
    <n v="22"/>
    <n v="607"/>
    <n v="6712700"/>
  </r>
  <r>
    <s v="Nasiru Lawal Anda"/>
    <x v="3"/>
    <x v="2"/>
    <x v="9"/>
    <n v="391"/>
    <n v="37"/>
    <n v="2056"/>
    <n v="44365403"/>
    <n v="46"/>
    <n v="25"/>
    <n v="1111"/>
    <n v="14419850"/>
  </r>
  <r>
    <s v="AMEDU STANLEY"/>
    <x v="4"/>
    <x v="2"/>
    <x v="10"/>
    <n v="511"/>
    <n v="78"/>
    <n v="9311"/>
    <n v="124854002"/>
    <n v="99"/>
    <n v="46"/>
    <n v="4997"/>
    <n v="46004883"/>
  </r>
  <r>
    <s v="UNDIBIALE WINNER ADAUMBE"/>
    <x v="4"/>
    <x v="2"/>
    <x v="10"/>
    <n v="0"/>
    <n v="0"/>
    <n v="0"/>
    <n v="0"/>
    <n v="12"/>
    <n v="11"/>
    <n v="0"/>
    <n v="0"/>
  </r>
  <r>
    <s v="IFEANYI ONYEDIKACHI"/>
    <x v="4"/>
    <x v="2"/>
    <x v="11"/>
    <n v="232"/>
    <n v="46"/>
    <n v="4586"/>
    <n v="52471269"/>
    <n v="100"/>
    <n v="41"/>
    <n v="2475"/>
    <n v="22002210"/>
  </r>
  <r>
    <s v="KENNETH NKEONYELLO"/>
    <x v="4"/>
    <x v="2"/>
    <x v="10"/>
    <n v="384"/>
    <n v="75"/>
    <n v="5048"/>
    <n v="77311784"/>
    <n v="81"/>
    <n v="52"/>
    <n v="2797"/>
    <n v="39873865"/>
  </r>
  <r>
    <s v="GODSTIME EKENECHUKWU OKORIE"/>
    <x v="4"/>
    <x v="2"/>
    <x v="10"/>
    <n v="291"/>
    <n v="56"/>
    <n v="3949"/>
    <n v="82222928"/>
    <n v="89"/>
    <n v="42"/>
    <n v="2867"/>
    <n v="43252754"/>
  </r>
  <r>
    <s v="Adeyeye Muideen"/>
    <x v="5"/>
    <x v="2"/>
    <x v="12"/>
    <n v="566"/>
    <n v="31"/>
    <n v="3282"/>
    <n v="42423704"/>
    <n v="60"/>
    <n v="20"/>
    <n v="1682"/>
    <n v="18468235"/>
  </r>
  <r>
    <s v="Fatima Opaleke"/>
    <x v="5"/>
    <x v="2"/>
    <x v="12"/>
    <n v="267"/>
    <n v="32"/>
    <n v="2787"/>
    <n v="29644787"/>
    <n v="47"/>
    <n v="28"/>
    <n v="1536"/>
    <n v="13516816"/>
  </r>
  <r>
    <s v="Jafaru Adamu"/>
    <x v="5"/>
    <x v="2"/>
    <x v="12"/>
    <n v="275"/>
    <n v="23"/>
    <n v="1938"/>
    <n v="19452679"/>
    <n v="36"/>
    <n v="21"/>
    <n v="1224"/>
    <n v="9180925"/>
  </r>
  <r>
    <s v="ALABI FEMI JOSEPH"/>
    <x v="6"/>
    <x v="2"/>
    <x v="13"/>
    <n v="164"/>
    <n v="47"/>
    <n v="4313"/>
    <n v="50508210"/>
    <n v="74"/>
    <n v="41"/>
    <n v="2710"/>
    <n v="26861845"/>
  </r>
  <r>
    <s v="OLATINWO MAYOWA MUKHTAR"/>
    <x v="7"/>
    <x v="2"/>
    <x v="14"/>
    <n v="108"/>
    <n v="20"/>
    <n v="1283"/>
    <n v="8572771"/>
    <n v="48"/>
    <n v="23"/>
    <n v="618"/>
    <n v="4656699"/>
  </r>
  <r>
    <s v="LATINWO SAHEED DAYO"/>
    <x v="7"/>
    <x v="2"/>
    <x v="13"/>
    <n v="298"/>
    <n v="53"/>
    <n v="3982"/>
    <n v="50761947"/>
    <n v="100"/>
    <n v="43"/>
    <n v="2436"/>
    <n v="25367566"/>
  </r>
  <r>
    <s v="ADEKEMI TAWAKALITU BASHARU"/>
    <x v="6"/>
    <x v="2"/>
    <x v="13"/>
    <n v="311"/>
    <n v="46"/>
    <n v="4251"/>
    <n v="56776361"/>
    <n v="91"/>
    <n v="40"/>
    <n v="2759"/>
    <n v="30499252"/>
  </r>
  <r>
    <s v="Aighufue Musa Suleiman"/>
    <x v="6"/>
    <x v="2"/>
    <x v="13"/>
    <n v="115"/>
    <n v="22"/>
    <n v="729"/>
    <n v="11963756"/>
    <n v="41"/>
    <n v="22"/>
    <n v="461"/>
    <n v="4970150"/>
  </r>
  <r>
    <s v="ABDULRAUF ABDULLAHI KUNLE"/>
    <x v="7"/>
    <x v="2"/>
    <x v="14"/>
    <n v="462"/>
    <n v="165"/>
    <n v="15090"/>
    <n v="121528563"/>
    <n v="167"/>
    <n v="88"/>
    <n v="8241"/>
    <n v="53720714"/>
  </r>
  <r>
    <s v="Ibrahim Zainab Temitope"/>
    <x v="7"/>
    <x v="2"/>
    <x v="14"/>
    <n v="142"/>
    <n v="38"/>
    <n v="3165"/>
    <n v="33199891"/>
    <n v="60"/>
    <n v="39"/>
    <n v="1805"/>
    <n v="16549040"/>
  </r>
  <r>
    <s v="GBENGA JOHN ADAMOLEKUN"/>
    <x v="8"/>
    <x v="2"/>
    <x v="15"/>
    <n v="393"/>
    <n v="70"/>
    <n v="11578"/>
    <n v="188842523"/>
    <n v="113"/>
    <n v="66"/>
    <n v="9576"/>
    <n v="166395602"/>
  </r>
  <r>
    <s v="MIRABEL CHINENYE EZE"/>
    <x v="8"/>
    <x v="2"/>
    <x v="15"/>
    <n v="550"/>
    <n v="93"/>
    <n v="10598"/>
    <n v="102327722"/>
    <n v="149"/>
    <n v="70"/>
    <n v="7046"/>
    <n v="47660010"/>
  </r>
  <r>
    <s v="Ahmed Kazeem"/>
    <x v="8"/>
    <x v="2"/>
    <x v="16"/>
    <n v="321"/>
    <n v="74"/>
    <n v="15327"/>
    <n v="213186730"/>
    <n v="118"/>
    <n v="72"/>
    <n v="9756"/>
    <n v="102793516"/>
  </r>
  <r>
    <s v="EMMANUEL OLORUNLEKE ENIS"/>
    <x v="8"/>
    <x v="2"/>
    <x v="16"/>
    <n v="0"/>
    <n v="0"/>
    <n v="0"/>
    <n v="0"/>
    <n v="0"/>
    <n v="0"/>
    <n v="0"/>
    <n v="0"/>
  </r>
  <r>
    <s v="AHMAD AUDU UGBEDE"/>
    <x v="8"/>
    <x v="2"/>
    <x v="17"/>
    <n v="239"/>
    <n v="27"/>
    <n v="3523"/>
    <n v="32669360"/>
    <n v="59"/>
    <n v="21"/>
    <n v="1977"/>
    <n v="21091331"/>
  </r>
  <r>
    <s v="ABDULSALAM IBRAHIM ADESHINA"/>
    <x v="9"/>
    <x v="2"/>
    <x v="18"/>
    <n v="0"/>
    <n v="0"/>
    <n v="0"/>
    <n v="0"/>
    <n v="0"/>
    <n v="0"/>
    <n v="0"/>
    <n v="0"/>
  </r>
  <r>
    <s v="NAZIRU BELLO"/>
    <x v="9"/>
    <x v="2"/>
    <x v="19"/>
    <n v="327"/>
    <n v="75"/>
    <n v="12870"/>
    <n v="179756515"/>
    <n v="95"/>
    <n v="64"/>
    <n v="6645"/>
    <n v="75161974"/>
  </r>
  <r>
    <s v="UGBEIDE HAPPY MAXWELL"/>
    <x v="10"/>
    <x v="3"/>
    <x v="20"/>
    <n v="310"/>
    <n v="98"/>
    <n v="16872"/>
    <n v="237811504"/>
    <n v="145"/>
    <n v="114"/>
    <n v="11880"/>
    <n v="126798382"/>
  </r>
  <r>
    <s v="HELEN JACK SAMPSON"/>
    <x v="10"/>
    <x v="3"/>
    <x v="20"/>
    <n v="519"/>
    <n v="155"/>
    <n v="28623"/>
    <n v="359990196"/>
    <n v="216"/>
    <n v="135"/>
    <n v="17724"/>
    <n v="172890567"/>
  </r>
  <r>
    <s v="JUDITH ETUNNE"/>
    <x v="11"/>
    <x v="3"/>
    <x v="20"/>
    <n v="202"/>
    <n v="63"/>
    <n v="10276"/>
    <n v="112808928"/>
    <n v="91"/>
    <n v="53"/>
    <n v="7070"/>
    <n v="52239360"/>
  </r>
  <r>
    <s v="Chijioke Okechukwu"/>
    <x v="11"/>
    <x v="3"/>
    <x v="20"/>
    <n v="203"/>
    <n v="57"/>
    <n v="10024"/>
    <n v="112591091"/>
    <n v="82"/>
    <n v="65"/>
    <n v="6075"/>
    <n v="52452553"/>
  </r>
  <r>
    <s v="Peace Sampson Akpan"/>
    <x v="11"/>
    <x v="3"/>
    <x v="20"/>
    <n v="351"/>
    <n v="88"/>
    <n v="14193"/>
    <n v="195442313"/>
    <n v="129"/>
    <n v="90"/>
    <n v="9865"/>
    <n v="104433088"/>
  </r>
  <r>
    <s v="MAUREEN UKEME"/>
    <x v="11"/>
    <x v="3"/>
    <x v="20"/>
    <n v="0"/>
    <n v="0"/>
    <n v="0"/>
    <n v="0"/>
    <n v="10"/>
    <n v="9"/>
    <n v="0"/>
    <n v="0"/>
  </r>
  <r>
    <s v="VICTORIA CHIMUANYA"/>
    <x v="11"/>
    <x v="3"/>
    <x v="20"/>
    <n v="9"/>
    <n v="4"/>
    <n v="523"/>
    <n v="5361931"/>
    <n v="18"/>
    <n v="17"/>
    <n v="335"/>
    <n v="2564620"/>
  </r>
  <r>
    <s v="CYNTHIA UWANDU"/>
    <x v="10"/>
    <x v="3"/>
    <x v="20"/>
    <n v="7"/>
    <n v="7"/>
    <n v="551"/>
    <n v="12249890"/>
    <n v="45"/>
    <n v="44"/>
    <n v="284"/>
    <n v="5923500"/>
  </r>
  <r>
    <s v="CHIOMA ONYEMJORO"/>
    <x v="10"/>
    <x v="3"/>
    <x v="20"/>
    <n v="3"/>
    <n v="0"/>
    <n v="0"/>
    <n v="0"/>
    <n v="4"/>
    <n v="3"/>
    <n v="0"/>
    <n v="0"/>
  </r>
  <r>
    <s v="EDEM NOAH"/>
    <x v="10"/>
    <x v="3"/>
    <x v="20"/>
    <n v="461"/>
    <n v="128"/>
    <n v="15395"/>
    <n v="206033166"/>
    <n v="173"/>
    <n v="127"/>
    <n v="9902"/>
    <n v="104597000"/>
  </r>
  <r>
    <s v="ORDU SYLVERNUS"/>
    <x v="10"/>
    <x v="3"/>
    <x v="20"/>
    <n v="679"/>
    <n v="122"/>
    <n v="12184"/>
    <n v="200360153"/>
    <n v="167"/>
    <n v="105"/>
    <n v="7466"/>
    <n v="81439701"/>
  </r>
  <r>
    <s v="IGBARAGO AYODEJI"/>
    <x v="12"/>
    <x v="3"/>
    <x v="21"/>
    <n v="291"/>
    <n v="84"/>
    <n v="8212"/>
    <n v="101040530"/>
    <n v="135"/>
    <n v="72"/>
    <n v="4854"/>
    <n v="43117286"/>
  </r>
  <r>
    <s v="OKHEMEHIMI BENALD EROMOSE"/>
    <x v="12"/>
    <x v="3"/>
    <x v="21"/>
    <n v="384"/>
    <n v="96"/>
    <n v="10877"/>
    <n v="139403592"/>
    <n v="148"/>
    <n v="101"/>
    <n v="7803"/>
    <n v="69188837"/>
  </r>
  <r>
    <s v="ESHIORIAMEH SUSAN"/>
    <x v="12"/>
    <x v="3"/>
    <x v="21"/>
    <n v="811"/>
    <n v="239"/>
    <n v="15833"/>
    <n v="284097907"/>
    <n v="222"/>
    <n v="120"/>
    <n v="8003"/>
    <n v="113622829"/>
  </r>
  <r>
    <s v="AKINOLA IFEOLUWA OLUWATOBI"/>
    <x v="10"/>
    <x v="3"/>
    <x v="22"/>
    <n v="475"/>
    <n v="102"/>
    <n v="6052"/>
    <n v="48601239"/>
    <n v="125"/>
    <n v="54"/>
    <n v="2451"/>
    <n v="21257555"/>
  </r>
  <r>
    <s v="GLORIA EFFIOM BASSEY"/>
    <x v="10"/>
    <x v="3"/>
    <x v="23"/>
    <n v="117"/>
    <n v="18"/>
    <n v="4000"/>
    <n v="54364020"/>
    <n v="36"/>
    <n v="23"/>
    <n v="1921"/>
    <n v="27007026"/>
  </r>
  <r>
    <s v="NEKPEN IZEKOR"/>
    <x v="12"/>
    <x v="3"/>
    <x v="24"/>
    <n v="513"/>
    <n v="195"/>
    <n v="14566"/>
    <n v="188399252"/>
    <n v="153"/>
    <n v="88"/>
    <n v="5796"/>
    <n v="76985540"/>
  </r>
  <r>
    <s v="Okorie Nkeiruka"/>
    <x v="13"/>
    <x v="4"/>
    <x v="25"/>
    <n v="230"/>
    <n v="47"/>
    <n v="5623"/>
    <n v="74268125"/>
    <n v="62"/>
    <n v="32"/>
    <n v="3104"/>
    <n v="29500066"/>
  </r>
  <r>
    <s v="ONYIALOVETH IFUNANYA"/>
    <x v="14"/>
    <x v="4"/>
    <x v="26"/>
    <n v="4"/>
    <n v="3"/>
    <n v="92"/>
    <n v="255451"/>
    <n v="1"/>
    <n v="1"/>
    <n v="37"/>
    <n v="105800"/>
  </r>
  <r>
    <s v="NWODE EMMANUEL"/>
    <x v="13"/>
    <x v="4"/>
    <x v="26"/>
    <n v="1"/>
    <n v="0"/>
    <n v="0"/>
    <n v="0"/>
    <n v="11"/>
    <n v="11"/>
    <n v="0"/>
    <n v="0"/>
  </r>
  <r>
    <s v="UGORJI DIVINE"/>
    <x v="13"/>
    <x v="4"/>
    <x v="26"/>
    <n v="0"/>
    <n v="0"/>
    <n v="0"/>
    <n v="0"/>
    <n v="0"/>
    <n v="0"/>
    <n v="0"/>
    <n v="0"/>
  </r>
  <r>
    <s v="EGBUNA FRANCIS"/>
    <x v="13"/>
    <x v="4"/>
    <x v="26"/>
    <n v="360"/>
    <n v="74"/>
    <n v="4890"/>
    <n v="72530348"/>
    <n v="111"/>
    <n v="44"/>
    <n v="1896"/>
    <n v="30674145"/>
  </r>
  <r>
    <s v="ANYACHO FLORENCE"/>
    <x v="13"/>
    <x v="4"/>
    <x v="26"/>
    <n v="460"/>
    <n v="92"/>
    <n v="5819"/>
    <n v="61542518"/>
    <n v="85"/>
    <n v="37"/>
    <n v="2212"/>
    <n v="27551190"/>
  </r>
  <r>
    <s v="AGBAFOR HAPPINESS"/>
    <x v="14"/>
    <x v="4"/>
    <x v="26"/>
    <n v="147"/>
    <n v="25"/>
    <n v="4418"/>
    <n v="22762191"/>
    <n v="30"/>
    <n v="19"/>
    <n v="1084"/>
    <n v="11060068"/>
  </r>
  <r>
    <s v="OFFOEGBULEM GABRIEL"/>
    <x v="14"/>
    <x v="4"/>
    <x v="26"/>
    <n v="3"/>
    <n v="1"/>
    <n v="15"/>
    <n v="153210"/>
    <n v="6"/>
    <n v="6"/>
    <n v="12"/>
    <n v="77710"/>
  </r>
  <r>
    <s v="CHRIS CHIBUEZE ECHEFU"/>
    <x v="15"/>
    <x v="2"/>
    <x v="27"/>
    <n v="161"/>
    <n v="50"/>
    <n v="4097"/>
    <n v="81757839"/>
    <n v="69"/>
    <n v="30"/>
    <n v="2167"/>
    <n v="35734156"/>
  </r>
  <r>
    <s v="Peter Pam Dalyop"/>
    <x v="15"/>
    <x v="2"/>
    <x v="28"/>
    <n v="94"/>
    <n v="26"/>
    <n v="5693"/>
    <n v="34317827"/>
    <n v="43"/>
    <n v="26"/>
    <n v="2453"/>
    <n v="17789967"/>
  </r>
  <r>
    <s v="JAMES COLUMBUS"/>
    <x v="15"/>
    <x v="2"/>
    <x v="11"/>
    <n v="0"/>
    <n v="0"/>
    <n v="0"/>
    <n v="0"/>
    <n v="0"/>
    <n v="0"/>
    <n v="0"/>
    <n v="0"/>
  </r>
  <r>
    <s v="Julius John Winnew"/>
    <x v="15"/>
    <x v="2"/>
    <x v="11"/>
    <n v="0"/>
    <n v="0"/>
    <n v="0"/>
    <n v="0"/>
    <n v="0"/>
    <n v="0"/>
    <n v="0"/>
    <n v="0"/>
  </r>
  <r>
    <s v="ATAWADAN DENIS DANIEL"/>
    <x v="15"/>
    <x v="2"/>
    <x v="29"/>
    <n v="153"/>
    <n v="40"/>
    <n v="1480"/>
    <n v="28159398"/>
    <n v="53"/>
    <n v="22"/>
    <n v="809"/>
    <n v="13975740"/>
  </r>
  <r>
    <s v="YAHAYA ALI"/>
    <x v="15"/>
    <x v="2"/>
    <x v="30"/>
    <n v="97"/>
    <n v="22"/>
    <n v="420"/>
    <n v="6029563"/>
    <n v="34"/>
    <n v="11"/>
    <n v="235"/>
    <n v="2213570"/>
  </r>
  <r>
    <s v="EDUOTU SOLOMON AKPOBOME"/>
    <x v="15"/>
    <x v="2"/>
    <x v="31"/>
    <n v="89"/>
    <n v="16"/>
    <n v="2112"/>
    <n v="30126008"/>
    <n v="24"/>
    <n v="11"/>
    <n v="1273"/>
    <n v="14709100"/>
  </r>
  <r>
    <s v="JOSHUA OSANYINBI"/>
    <x v="0"/>
    <x v="0"/>
    <x v="31"/>
    <n v="319"/>
    <n v="68"/>
    <n v="5170"/>
    <n v="68711030"/>
    <n v="80"/>
    <n v="37"/>
    <n v="1603"/>
    <n v="14369133"/>
  </r>
  <r>
    <s v="ATIDADE EMMANUEL OLAKUNLE"/>
    <x v="0"/>
    <x v="0"/>
    <x v="31"/>
    <n v="10"/>
    <n v="3"/>
    <n v="107"/>
    <n v="1530650"/>
    <n v="4"/>
    <n v="1"/>
    <n v="105"/>
    <n v="707550"/>
  </r>
  <r>
    <s v="OLAKULEHIN MUSA KEHINDE"/>
    <x v="1"/>
    <x v="0"/>
    <x v="31"/>
    <n v="713"/>
    <n v="229"/>
    <n v="35069"/>
    <n v="401811823"/>
    <n v="304"/>
    <n v="156"/>
    <n v="20425"/>
    <n v="193446880"/>
  </r>
  <r>
    <s v="JOHN OVYE"/>
    <x v="4"/>
    <x v="2"/>
    <x v="31"/>
    <n v="117"/>
    <n v="33"/>
    <n v="6711"/>
    <n v="67952515"/>
    <n v="67"/>
    <n v="36"/>
    <n v="4581"/>
    <n v="36244426"/>
  </r>
  <r>
    <s v="ADELEKE HANNAH SAMUEL"/>
    <x v="4"/>
    <x v="2"/>
    <x v="31"/>
    <n v="0"/>
    <n v="0"/>
    <n v="0"/>
    <n v="0"/>
    <n v="3"/>
    <n v="3"/>
    <n v="0"/>
    <n v="0"/>
  </r>
  <r>
    <s v="Joseph Darius"/>
    <x v="8"/>
    <x v="2"/>
    <x v="15"/>
    <n v="84"/>
    <n v="3"/>
    <n v="662"/>
    <n v="5606660"/>
    <n v="30"/>
    <n v="20"/>
    <n v="398"/>
    <n v="2783550"/>
  </r>
  <r>
    <s v="Emmanuel felix"/>
    <x v="8"/>
    <x v="2"/>
    <x v="15"/>
    <n v="160"/>
    <n v="21"/>
    <n v="3052"/>
    <n v="41000053"/>
    <n v="35"/>
    <n v="24"/>
    <n v="2053"/>
    <n v="22537107"/>
  </r>
  <r>
    <s v="Catherine Daniel"/>
    <x v="0"/>
    <x v="0"/>
    <x v="0"/>
    <n v="0"/>
    <n v="0"/>
    <n v="0"/>
    <n v="0"/>
    <n v="0"/>
    <n v="0"/>
    <n v="0"/>
    <n v="0"/>
  </r>
  <r>
    <s v="JOY JACOB OJOCHENEMI"/>
    <x v="3"/>
    <x v="2"/>
    <x v="6"/>
    <n v="299"/>
    <n v="52"/>
    <n v="3634"/>
    <n v="41229998"/>
    <n v="113"/>
    <n v="40"/>
    <n v="2293"/>
    <n v="18521997"/>
  </r>
  <r>
    <s v="ABOJE JONATHAN ADEGAH"/>
    <x v="3"/>
    <x v="2"/>
    <x v="6"/>
    <n v="345"/>
    <n v="34"/>
    <n v="2557"/>
    <n v="24714178"/>
    <n v="71"/>
    <n v="29"/>
    <n v="1311"/>
    <n v="14622560"/>
  </r>
  <r>
    <s v="Yahaya Bello"/>
    <x v="9"/>
    <x v="2"/>
    <x v="18"/>
    <n v="375"/>
    <n v="49"/>
    <n v="5352"/>
    <n v="93564623"/>
    <n v="98"/>
    <n v="45"/>
    <n v="3105"/>
    <n v="49449326"/>
  </r>
  <r>
    <s v="MOSES TOLORUNSOGBON"/>
    <x v="9"/>
    <x v="2"/>
    <x v="19"/>
    <n v="99"/>
    <n v="18"/>
    <n v="1422"/>
    <n v="15334576"/>
    <n v="38"/>
    <n v="30"/>
    <n v="556"/>
    <n v="4982170"/>
  </r>
  <r>
    <s v="Ajayi Rilwan Adeyemi"/>
    <x v="2"/>
    <x v="1"/>
    <x v="1"/>
    <n v="0"/>
    <n v="0"/>
    <n v="0"/>
    <n v="0"/>
    <n v="9"/>
    <n v="8"/>
    <n v="0"/>
    <n v="0"/>
  </r>
  <r>
    <s v="Oluwatimilehin Christy Omotayo"/>
    <x v="16"/>
    <x v="0"/>
    <x v="0"/>
    <n v="0"/>
    <n v="0"/>
    <n v="0"/>
    <n v="0"/>
    <n v="1"/>
    <n v="1"/>
    <n v="0"/>
    <n v="0"/>
  </r>
  <r>
    <s v="Esther Godgift"/>
    <x v="16"/>
    <x v="0"/>
    <x v="0"/>
    <n v="0"/>
    <n v="0"/>
    <n v="0"/>
    <n v="0"/>
    <n v="3"/>
    <n v="2"/>
    <n v="0"/>
    <n v="0"/>
  </r>
  <r>
    <s v="Izunna Chinenye Jane"/>
    <x v="16"/>
    <x v="0"/>
    <x v="0"/>
    <n v="0"/>
    <n v="0"/>
    <n v="0"/>
    <n v="0"/>
    <n v="0"/>
    <n v="0"/>
    <n v="0"/>
    <n v="0"/>
  </r>
  <r>
    <s v="Mercy Ogbuagu"/>
    <x v="16"/>
    <x v="0"/>
    <x v="0"/>
    <n v="0"/>
    <n v="0"/>
    <n v="0"/>
    <n v="0"/>
    <n v="4"/>
    <n v="4"/>
    <n v="0"/>
    <n v="0"/>
  </r>
  <r>
    <s v="OMOBOLANLE OBAMOYEGUN"/>
    <x v="16"/>
    <x v="0"/>
    <x v="0"/>
    <n v="0"/>
    <n v="0"/>
    <n v="0"/>
    <n v="0"/>
    <n v="0"/>
    <n v="0"/>
    <n v="0"/>
    <n v="0"/>
  </r>
  <r>
    <s v="MERCY ADEYI"/>
    <x v="3"/>
    <x v="2"/>
    <x v="6"/>
    <n v="0"/>
    <n v="0"/>
    <n v="0"/>
    <n v="0"/>
    <n v="3"/>
    <n v="1"/>
    <n v="0"/>
    <n v="0"/>
  </r>
  <r>
    <s v="KAYODE DAMILOLA ESTHER"/>
    <x v="2"/>
    <x v="5"/>
    <x v="3"/>
    <n v="35"/>
    <n v="8"/>
    <n v="2132"/>
    <n v="26432091"/>
    <n v="15"/>
    <n v="14"/>
    <n v="1165"/>
    <n v="11561120"/>
  </r>
  <r>
    <s v="SAKA SELIM ADEMOLA"/>
    <x v="2"/>
    <x v="5"/>
    <x v="3"/>
    <n v="0"/>
    <n v="0"/>
    <n v="0"/>
    <n v="0"/>
    <n v="4"/>
    <n v="4"/>
    <n v="0"/>
    <n v="0"/>
  </r>
  <r>
    <s v="JAMES BONIFACE"/>
    <x v="8"/>
    <x v="2"/>
    <x v="16"/>
    <n v="119"/>
    <n v="18"/>
    <n v="2569"/>
    <n v="35501073"/>
    <n v="35"/>
    <n v="22"/>
    <n v="1831"/>
    <n v="17160680"/>
  </r>
  <r>
    <s v="Attah Eima Ojochogu"/>
    <x v="3"/>
    <x v="2"/>
    <x v="6"/>
    <n v="0"/>
    <n v="0"/>
    <n v="0"/>
    <n v="0"/>
    <n v="7"/>
    <n v="6"/>
    <n v="0"/>
    <n v="0"/>
  </r>
  <r>
    <s v="SULYMAN HASSAN"/>
    <x v="7"/>
    <x v="2"/>
    <x v="14"/>
    <n v="345"/>
    <n v="76"/>
    <n v="5155"/>
    <n v="51008355"/>
    <n v="105"/>
    <n v="42"/>
    <n v="3118"/>
    <n v="23103906"/>
  </r>
  <r>
    <s v="Azurunwa Chimezie"/>
    <x v="9"/>
    <x v="2"/>
    <x v="32"/>
    <n v="92"/>
    <n v="10"/>
    <n v="136"/>
    <n v="2482493"/>
    <n v="19"/>
    <n v="8"/>
    <n v="44"/>
    <n v="931575"/>
  </r>
  <r>
    <s v="IMOLE AYOKUNLE"/>
    <x v="2"/>
    <x v="5"/>
    <x v="4"/>
    <n v="365"/>
    <n v="71"/>
    <n v="3356"/>
    <n v="44463630"/>
    <n v="84"/>
    <n v="41"/>
    <n v="1795"/>
    <n v="20942467"/>
  </r>
  <r>
    <s v="ADEBISI ADETOMI OLAMIDE"/>
    <x v="16"/>
    <x v="5"/>
    <x v="0"/>
    <n v="0"/>
    <n v="0"/>
    <n v="0"/>
    <n v="0"/>
    <n v="0"/>
    <n v="0"/>
    <n v="0"/>
    <n v="0"/>
  </r>
  <r>
    <s v="AKOREDE ABDULGANIY SHEHU"/>
    <x v="3"/>
    <x v="5"/>
    <x v="6"/>
    <n v="0"/>
    <n v="0"/>
    <n v="0"/>
    <n v="0"/>
    <n v="6"/>
    <n v="6"/>
    <n v="0"/>
    <n v="0"/>
  </r>
  <r>
    <s v="CHIWUZIE VICTOR CHUKWUNONSO"/>
    <x v="3"/>
    <x v="5"/>
    <x v="6"/>
    <n v="0"/>
    <n v="0"/>
    <n v="0"/>
    <n v="0"/>
    <n v="2"/>
    <n v="2"/>
    <n v="0"/>
    <n v="0"/>
  </r>
  <r>
    <s v="BERNARD EMEKA EMMANUEL"/>
    <x v="16"/>
    <x v="0"/>
    <x v="0"/>
    <n v="0"/>
    <n v="0"/>
    <n v="0"/>
    <n v="0"/>
    <n v="0"/>
    <n v="0"/>
    <n v="0"/>
    <n v="0"/>
  </r>
  <r>
    <s v="AZEEZ IDRIS"/>
    <x v="16"/>
    <x v="0"/>
    <x v="0"/>
    <n v="0"/>
    <n v="0"/>
    <n v="0"/>
    <n v="0"/>
    <n v="0"/>
    <n v="0"/>
    <n v="0"/>
    <n v="0"/>
  </r>
  <r>
    <s v="MESOGBORIWON OLUWAGBENGA"/>
    <x v="2"/>
    <x v="5"/>
    <x v="5"/>
    <n v="313"/>
    <n v="56"/>
    <n v="6898"/>
    <n v="78196204"/>
    <n v="86"/>
    <n v="50"/>
    <n v="5056"/>
    <n v="36281105"/>
  </r>
  <r>
    <s v="IKEJIOFOR EKENE"/>
    <x v="16"/>
    <x v="0"/>
    <x v="0"/>
    <n v="0"/>
    <n v="0"/>
    <n v="0"/>
    <n v="0"/>
    <n v="0"/>
    <n v="0"/>
    <n v="0"/>
    <n v="0"/>
  </r>
  <r>
    <s v="BENSON NAOMI"/>
    <x v="16"/>
    <x v="0"/>
    <x v="0"/>
    <n v="0"/>
    <n v="0"/>
    <n v="0"/>
    <n v="0"/>
    <n v="0"/>
    <n v="0"/>
    <n v="0"/>
    <n v="0"/>
  </r>
  <r>
    <s v="HARRISON NELLY"/>
    <x v="16"/>
    <x v="0"/>
    <x v="0"/>
    <n v="0"/>
    <n v="0"/>
    <n v="0"/>
    <n v="0"/>
    <n v="0"/>
    <n v="0"/>
    <n v="0"/>
    <n v="0"/>
  </r>
  <r>
    <s v="JAMIU IFEDAMOLA RUKAYAT"/>
    <x v="2"/>
    <x v="5"/>
    <x v="2"/>
    <n v="349"/>
    <n v="64"/>
    <n v="7427"/>
    <n v="205134344"/>
    <n v="87"/>
    <n v="48"/>
    <n v="4833"/>
    <n v="137062577"/>
  </r>
  <r>
    <s v="AKANJI MATTHEW"/>
    <x v="9"/>
    <x v="5"/>
    <x v="1"/>
    <n v="388"/>
    <n v="46"/>
    <n v="3276"/>
    <n v="50686787"/>
    <n v="36"/>
    <n v="22"/>
    <n v="1646"/>
    <n v="22007695"/>
  </r>
  <r>
    <s v="BELLO HAMMED"/>
    <x v="2"/>
    <x v="5"/>
    <x v="1"/>
    <n v="480"/>
    <n v="77"/>
    <n v="5374"/>
    <n v="55066133"/>
    <n v="53"/>
    <n v="33"/>
    <n v="2056"/>
    <n v="16554614"/>
  </r>
  <r>
    <s v="AJULO OLUWATOSIN"/>
    <x v="9"/>
    <x v="5"/>
    <x v="1"/>
    <n v="505"/>
    <n v="63"/>
    <n v="5727"/>
    <n v="44184016"/>
    <n v="58"/>
    <n v="25"/>
    <n v="2444"/>
    <n v="18512899"/>
  </r>
  <r>
    <s v="ADENIJI OLUWATOBI EBUN"/>
    <x v="0"/>
    <x v="0"/>
    <x v="0"/>
    <n v="448"/>
    <n v="75"/>
    <n v="831"/>
    <n v="8622225"/>
    <n v="118"/>
    <n v="45"/>
    <n v="518"/>
    <n v="4094650"/>
  </r>
  <r>
    <s v="AKINNAWO OLURANTI REUBEN"/>
    <x v="0"/>
    <x v="0"/>
    <x v="0"/>
    <n v="404"/>
    <n v="87"/>
    <n v="1385"/>
    <n v="14957395"/>
    <n v="162"/>
    <n v="59"/>
    <n v="829"/>
    <n v="9856200"/>
  </r>
  <r>
    <s v="AJIA IBRAHIM GBENGA"/>
    <x v="0"/>
    <x v="0"/>
    <x v="0"/>
    <n v="255"/>
    <n v="31"/>
    <n v="503"/>
    <n v="4767638"/>
    <n v="75"/>
    <n v="37"/>
    <n v="424"/>
    <n v="3083380"/>
  </r>
  <r>
    <s v="ABDULHAKEEM"/>
    <x v="0"/>
    <x v="0"/>
    <x v="0"/>
    <n v="403"/>
    <n v="95"/>
    <n v="837"/>
    <n v="8898566"/>
    <n v="100"/>
    <n v="29"/>
    <n v="317"/>
    <n v="2938580"/>
  </r>
  <r>
    <s v="HELEN MODUPE OLAJIDE"/>
    <x v="0"/>
    <x v="0"/>
    <x v="0"/>
    <n v="363"/>
    <n v="91"/>
    <n v="862"/>
    <n v="8169011"/>
    <n v="112"/>
    <n v="37"/>
    <n v="462"/>
    <n v="4687100"/>
  </r>
  <r>
    <s v="MAJEKODUNMI MATTHEW OLUWADAMILARE"/>
    <x v="1"/>
    <x v="0"/>
    <x v="0"/>
    <n v="360"/>
    <n v="73"/>
    <n v="936"/>
    <n v="10118431"/>
    <n v="140"/>
    <n v="49"/>
    <n v="471"/>
    <n v="4388775"/>
  </r>
  <r>
    <s v="MERCY UZOMA OLUCHI"/>
    <x v="0"/>
    <x v="0"/>
    <x v="0"/>
    <n v="395"/>
    <n v="46"/>
    <n v="605"/>
    <n v="8746332"/>
    <n v="85"/>
    <n v="28"/>
    <n v="323"/>
    <n v="2181270"/>
  </r>
  <r>
    <s v="OMOZOLEN FRANCIS CALISTUS"/>
    <x v="0"/>
    <x v="0"/>
    <x v="0"/>
    <n v="498"/>
    <n v="62"/>
    <n v="756"/>
    <n v="15025770"/>
    <n v="125"/>
    <n v="24"/>
    <n v="413"/>
    <n v="4613420"/>
  </r>
  <r>
    <s v="KAYODE MAYOWA OBASANJO"/>
    <x v="0"/>
    <x v="0"/>
    <x v="0"/>
    <n v="443"/>
    <n v="67"/>
    <n v="1061"/>
    <n v="9626179"/>
    <n v="94"/>
    <n v="26"/>
    <n v="402"/>
    <n v="3331720"/>
  </r>
  <r>
    <s v="Onum Sarduna"/>
    <x v="0"/>
    <x v="0"/>
    <x v="0"/>
    <n v="0"/>
    <n v="0"/>
    <n v="0"/>
    <n v="0"/>
    <n v="0"/>
    <n v="0"/>
    <n v="0"/>
    <n v="0"/>
  </r>
  <r>
    <s v="ADEOLA OLUWATOSIN FUNMILAYO"/>
    <x v="1"/>
    <x v="0"/>
    <x v="0"/>
    <n v="213"/>
    <n v="39"/>
    <n v="562"/>
    <n v="7411183"/>
    <n v="77"/>
    <n v="23"/>
    <n v="250"/>
    <n v="2331300"/>
  </r>
  <r>
    <s v="IWUALA AKUDO"/>
    <x v="1"/>
    <x v="0"/>
    <x v="0"/>
    <n v="545"/>
    <n v="134"/>
    <n v="2452"/>
    <n v="28462943"/>
    <n v="198"/>
    <n v="85"/>
    <n v="1521"/>
    <n v="13556310"/>
  </r>
  <r>
    <s v="ADENLA NURUDEEN ABAYOMI"/>
    <x v="2"/>
    <x v="1"/>
    <x v="1"/>
    <n v="0"/>
    <n v="0"/>
    <n v="0"/>
    <n v="0"/>
    <n v="0"/>
    <n v="0"/>
    <n v="0"/>
    <n v="0"/>
  </r>
  <r>
    <s v="Adeoye Akorede Oluwafemi"/>
    <x v="2"/>
    <x v="1"/>
    <x v="1"/>
    <n v="574"/>
    <n v="107"/>
    <n v="1571"/>
    <n v="18138258"/>
    <n v="175"/>
    <n v="79"/>
    <n v="935"/>
    <n v="8316020"/>
  </r>
  <r>
    <s v="OLALERE OLUSHOLA ADEFEMI"/>
    <x v="2"/>
    <x v="1"/>
    <x v="1"/>
    <n v="0"/>
    <n v="0"/>
    <n v="0"/>
    <n v="0"/>
    <n v="0"/>
    <n v="0"/>
    <n v="0"/>
    <n v="0"/>
  </r>
  <r>
    <s v="AKINOLA LAWRENCE"/>
    <x v="2"/>
    <x v="1"/>
    <x v="2"/>
    <n v="0"/>
    <n v="0"/>
    <n v="0"/>
    <n v="0"/>
    <n v="0"/>
    <n v="0"/>
    <n v="0"/>
    <n v="0"/>
  </r>
  <r>
    <s v="LAWAL SAHEED ADEWALE"/>
    <x v="2"/>
    <x v="1"/>
    <x v="3"/>
    <n v="756"/>
    <n v="166"/>
    <n v="1211"/>
    <n v="12827638"/>
    <n v="155"/>
    <n v="64"/>
    <n v="706"/>
    <n v="5149265"/>
  </r>
  <r>
    <s v="Ogundare Risikat Abiodun"/>
    <x v="2"/>
    <x v="1"/>
    <x v="3"/>
    <n v="575"/>
    <n v="92"/>
    <n v="1144"/>
    <n v="14883349"/>
    <n v="138"/>
    <n v="66"/>
    <n v="713"/>
    <n v="6262030"/>
  </r>
  <r>
    <s v="AYENI NAOMI IMOLEAYO"/>
    <x v="2"/>
    <x v="1"/>
    <x v="4"/>
    <n v="0"/>
    <n v="0"/>
    <n v="0"/>
    <n v="0"/>
    <n v="0"/>
    <n v="0"/>
    <n v="0"/>
    <n v="0"/>
  </r>
  <r>
    <s v="OGUNDELE OLUWATOYIN"/>
    <x v="2"/>
    <x v="1"/>
    <x v="5"/>
    <n v="0"/>
    <n v="0"/>
    <n v="0"/>
    <n v="0"/>
    <n v="0"/>
    <n v="0"/>
    <n v="0"/>
    <n v="0"/>
  </r>
  <r>
    <s v="BENJAMIN WALLAH"/>
    <x v="3"/>
    <x v="2"/>
    <x v="6"/>
    <n v="543"/>
    <n v="62"/>
    <n v="714"/>
    <n v="3707866"/>
    <n v="114"/>
    <n v="30"/>
    <n v="351"/>
    <n v="1417090"/>
  </r>
  <r>
    <s v="ADESHOLA ELIJAH EKUNDAYO"/>
    <x v="3"/>
    <x v="2"/>
    <x v="6"/>
    <n v="466"/>
    <n v="65"/>
    <n v="881"/>
    <n v="17691439"/>
    <n v="136"/>
    <n v="35"/>
    <n v="577"/>
    <n v="8179379"/>
  </r>
  <r>
    <s v="JONATHAN JOSHUA AKO"/>
    <x v="3"/>
    <x v="2"/>
    <x v="7"/>
    <n v="330"/>
    <n v="26"/>
    <n v="813"/>
    <n v="6733192"/>
    <n v="91"/>
    <n v="28"/>
    <n v="671"/>
    <n v="4097150"/>
  </r>
  <r>
    <s v="PAUL OCHE ALI"/>
    <x v="3"/>
    <x v="2"/>
    <x v="6"/>
    <n v="349"/>
    <n v="36"/>
    <n v="198"/>
    <n v="2027387"/>
    <n v="76"/>
    <n v="23"/>
    <n v="70"/>
    <n v="1052730"/>
  </r>
  <r>
    <s v="ITMA CHRISTOPHER"/>
    <x v="3"/>
    <x v="2"/>
    <x v="8"/>
    <n v="336"/>
    <n v="37"/>
    <n v="384"/>
    <n v="5469998"/>
    <n v="64"/>
    <n v="25"/>
    <n v="247"/>
    <n v="2917315"/>
  </r>
  <r>
    <s v="Musa Ilyasu"/>
    <x v="3"/>
    <x v="2"/>
    <x v="9"/>
    <n v="147"/>
    <n v="20"/>
    <n v="148"/>
    <n v="1923800"/>
    <n v="35"/>
    <n v="10"/>
    <n v="83"/>
    <n v="779850"/>
  </r>
  <r>
    <s v="Nasiru Lawal Anda"/>
    <x v="3"/>
    <x v="2"/>
    <x v="9"/>
    <n v="391"/>
    <n v="22"/>
    <n v="197"/>
    <n v="5899070"/>
    <n v="46"/>
    <n v="14"/>
    <n v="111"/>
    <n v="1112350"/>
  </r>
  <r>
    <s v="AMEDU STANLEY"/>
    <x v="4"/>
    <x v="2"/>
    <x v="10"/>
    <n v="511"/>
    <n v="60"/>
    <n v="864"/>
    <n v="12200340"/>
    <n v="99"/>
    <n v="24"/>
    <n v="462"/>
    <n v="4742136"/>
  </r>
  <r>
    <s v="UNDIBIALE WINNER ADAUMBE"/>
    <x v="4"/>
    <x v="2"/>
    <x v="10"/>
    <n v="0"/>
    <n v="0"/>
    <n v="0"/>
    <n v="0"/>
    <n v="13"/>
    <n v="8"/>
    <n v="0"/>
    <n v="0"/>
  </r>
  <r>
    <s v="IFEANYI ONYEDIKACHI"/>
    <x v="4"/>
    <x v="2"/>
    <x v="11"/>
    <n v="232"/>
    <n v="38"/>
    <n v="375"/>
    <n v="5331066"/>
    <n v="100"/>
    <n v="20"/>
    <n v="177"/>
    <n v="2264260"/>
  </r>
  <r>
    <s v="KENNETH NKEONYELLO"/>
    <x v="4"/>
    <x v="2"/>
    <x v="10"/>
    <n v="384"/>
    <n v="63"/>
    <n v="456"/>
    <n v="5515065"/>
    <n v="81"/>
    <n v="32"/>
    <n v="210"/>
    <n v="2634780"/>
  </r>
  <r>
    <s v="GODSTIME EKENECHUKWU OKORIE"/>
    <x v="4"/>
    <x v="2"/>
    <x v="10"/>
    <n v="291"/>
    <n v="42"/>
    <n v="354"/>
    <n v="7912017"/>
    <n v="89"/>
    <n v="24"/>
    <n v="168"/>
    <n v="3744400"/>
  </r>
  <r>
    <s v="Adeyeye Muideen"/>
    <x v="5"/>
    <x v="2"/>
    <x v="12"/>
    <n v="566"/>
    <n v="25"/>
    <n v="261"/>
    <n v="3456475"/>
    <n v="60"/>
    <n v="13"/>
    <n v="149"/>
    <n v="1570835"/>
  </r>
  <r>
    <s v="Fatima Opaleke"/>
    <x v="5"/>
    <x v="2"/>
    <x v="12"/>
    <n v="267"/>
    <n v="24"/>
    <n v="253"/>
    <n v="3028340"/>
    <n v="47"/>
    <n v="16"/>
    <n v="136"/>
    <n v="1317110"/>
  </r>
  <r>
    <s v="Jafaru Adamu"/>
    <x v="5"/>
    <x v="2"/>
    <x v="12"/>
    <n v="275"/>
    <n v="14"/>
    <n v="209"/>
    <n v="1967290"/>
    <n v="36"/>
    <n v="14"/>
    <n v="128"/>
    <n v="1011220"/>
  </r>
  <r>
    <s v="ALABI FEMI JOSEPH"/>
    <x v="6"/>
    <x v="2"/>
    <x v="13"/>
    <n v="164"/>
    <n v="35"/>
    <n v="682"/>
    <n v="9002341"/>
    <n v="74"/>
    <n v="30"/>
    <n v="412"/>
    <n v="4515830"/>
  </r>
  <r>
    <s v="OLATINWO MAYOWA MUKHTAR"/>
    <x v="7"/>
    <x v="2"/>
    <x v="14"/>
    <n v="108"/>
    <n v="15"/>
    <n v="109"/>
    <n v="1487710"/>
    <n v="48"/>
    <n v="10"/>
    <n v="50"/>
    <n v="229260"/>
  </r>
  <r>
    <s v="LATINWO SAHEED DAYO"/>
    <x v="7"/>
    <x v="2"/>
    <x v="13"/>
    <n v="298"/>
    <n v="34"/>
    <n v="383"/>
    <n v="3764508"/>
    <n v="100"/>
    <n v="23"/>
    <n v="220"/>
    <n v="1866100"/>
  </r>
  <r>
    <s v="ADEKEMI TAWAKALITU BASHARU"/>
    <x v="6"/>
    <x v="2"/>
    <x v="13"/>
    <n v="311"/>
    <n v="35"/>
    <n v="577"/>
    <n v="7305930"/>
    <n v="91"/>
    <n v="27"/>
    <n v="398"/>
    <n v="4257034"/>
  </r>
  <r>
    <s v="Aighufue Musa Suleiman"/>
    <x v="6"/>
    <x v="2"/>
    <x v="13"/>
    <n v="115"/>
    <n v="12"/>
    <n v="72"/>
    <n v="1048800"/>
    <n v="41"/>
    <n v="10"/>
    <n v="55"/>
    <n v="545450"/>
  </r>
  <r>
    <s v="ABDULRAUF ABDULLAHI KUNLE"/>
    <x v="7"/>
    <x v="2"/>
    <x v="14"/>
    <n v="462"/>
    <n v="135"/>
    <n v="1513"/>
    <n v="15001874"/>
    <n v="167"/>
    <n v="66"/>
    <n v="801"/>
    <n v="6564269"/>
  </r>
  <r>
    <s v="Ibrahim Zainab Temitope"/>
    <x v="7"/>
    <x v="2"/>
    <x v="14"/>
    <n v="142"/>
    <n v="26"/>
    <n v="264"/>
    <n v="3030707"/>
    <n v="60"/>
    <n v="21"/>
    <n v="149"/>
    <n v="1413880"/>
  </r>
  <r>
    <s v="GBENGA JOHN ADAMOLEKUN"/>
    <x v="8"/>
    <x v="2"/>
    <x v="15"/>
    <n v="393"/>
    <n v="58"/>
    <n v="1284"/>
    <n v="20392721"/>
    <n v="114"/>
    <n v="57"/>
    <n v="1006"/>
    <n v="13150995"/>
  </r>
  <r>
    <s v="MIRABEL CHINENYE EZE"/>
    <x v="8"/>
    <x v="2"/>
    <x v="15"/>
    <n v="550"/>
    <n v="68"/>
    <n v="1148"/>
    <n v="13375338"/>
    <n v="149"/>
    <n v="56"/>
    <n v="775"/>
    <n v="7328780"/>
  </r>
  <r>
    <s v="Ahmed Kazeem"/>
    <x v="8"/>
    <x v="2"/>
    <x v="16"/>
    <n v="321"/>
    <n v="62"/>
    <n v="1712"/>
    <n v="27461325"/>
    <n v="118"/>
    <n v="56"/>
    <n v="1143"/>
    <n v="13117758"/>
  </r>
  <r>
    <s v="EMMANUEL OLORUNLEKE ENIS"/>
    <x v="8"/>
    <x v="2"/>
    <x v="16"/>
    <n v="0"/>
    <n v="0"/>
    <n v="0"/>
    <n v="0"/>
    <n v="0"/>
    <n v="0"/>
    <n v="0"/>
    <n v="0"/>
  </r>
  <r>
    <s v="AHMAD AUDU UGBEDE"/>
    <x v="8"/>
    <x v="2"/>
    <x v="17"/>
    <n v="239"/>
    <n v="21"/>
    <n v="391"/>
    <n v="3767100"/>
    <n v="59"/>
    <n v="18"/>
    <n v="225"/>
    <n v="2593140"/>
  </r>
  <r>
    <s v="ABDULSALAM IBRAHIM ADESHINA"/>
    <x v="9"/>
    <x v="2"/>
    <x v="18"/>
    <n v="0"/>
    <n v="0"/>
    <n v="0"/>
    <n v="0"/>
    <n v="0"/>
    <n v="0"/>
    <n v="0"/>
    <n v="0"/>
  </r>
  <r>
    <s v="NAZIRU BELLO"/>
    <x v="9"/>
    <x v="2"/>
    <x v="19"/>
    <n v="327"/>
    <n v="60"/>
    <n v="1398"/>
    <n v="21625701"/>
    <n v="97"/>
    <n v="55"/>
    <n v="682"/>
    <n v="8232325"/>
  </r>
  <r>
    <s v="UGBEIDE HAPPY MAXWELL"/>
    <x v="10"/>
    <x v="3"/>
    <x v="20"/>
    <n v="310"/>
    <n v="81"/>
    <n v="1938"/>
    <n v="23932466"/>
    <n v="147"/>
    <n v="73"/>
    <n v="1408"/>
    <n v="14051440"/>
  </r>
  <r>
    <s v="HELEN JACK SAMPSON"/>
    <x v="10"/>
    <x v="3"/>
    <x v="20"/>
    <n v="519"/>
    <n v="129"/>
    <n v="2963"/>
    <n v="38539432"/>
    <n v="215"/>
    <n v="104"/>
    <n v="1892"/>
    <n v="19194165"/>
  </r>
  <r>
    <s v="JUDITH ETUNNE"/>
    <x v="11"/>
    <x v="3"/>
    <x v="20"/>
    <n v="202"/>
    <n v="51"/>
    <n v="1010"/>
    <n v="9817955"/>
    <n v="90"/>
    <n v="38"/>
    <n v="724"/>
    <n v="4482150"/>
  </r>
  <r>
    <s v="Chijioke Okechukwu"/>
    <x v="11"/>
    <x v="3"/>
    <x v="20"/>
    <n v="203"/>
    <n v="48"/>
    <n v="1054"/>
    <n v="11620690"/>
    <n v="82"/>
    <n v="49"/>
    <n v="651"/>
    <n v="5525360"/>
  </r>
  <r>
    <s v="Peace Sampson Akpan"/>
    <x v="11"/>
    <x v="3"/>
    <x v="20"/>
    <n v="351"/>
    <n v="77"/>
    <n v="1495"/>
    <n v="18616301"/>
    <n v="129"/>
    <n v="66"/>
    <n v="1015"/>
    <n v="9861566"/>
  </r>
  <r>
    <s v="MAUREEN UKEME"/>
    <x v="11"/>
    <x v="3"/>
    <x v="20"/>
    <n v="0"/>
    <n v="0"/>
    <n v="0"/>
    <n v="0"/>
    <n v="11"/>
    <n v="5"/>
    <n v="0"/>
    <n v="0"/>
  </r>
  <r>
    <s v="VICTORIA CHIMUANYA"/>
    <x v="11"/>
    <x v="3"/>
    <x v="20"/>
    <n v="9"/>
    <n v="4"/>
    <n v="45"/>
    <n v="872610"/>
    <n v="18"/>
    <n v="13"/>
    <n v="33"/>
    <n v="491810"/>
  </r>
  <r>
    <s v="CYNTHIA UWANDU"/>
    <x v="10"/>
    <x v="3"/>
    <x v="20"/>
    <n v="7"/>
    <n v="7"/>
    <n v="48"/>
    <n v="411250"/>
    <n v="46"/>
    <n v="31"/>
    <n v="27"/>
    <n v="202350"/>
  </r>
  <r>
    <s v="CHIOMA ONYEMJORO"/>
    <x v="10"/>
    <x v="3"/>
    <x v="20"/>
    <n v="3"/>
    <n v="0"/>
    <n v="0"/>
    <n v="0"/>
    <n v="4"/>
    <n v="1"/>
    <n v="0"/>
    <n v="0"/>
  </r>
  <r>
    <s v="EDEM NOAH"/>
    <x v="10"/>
    <x v="3"/>
    <x v="20"/>
    <n v="461"/>
    <n v="107"/>
    <n v="1422"/>
    <n v="23119673"/>
    <n v="173"/>
    <n v="87"/>
    <n v="892"/>
    <n v="11820690"/>
  </r>
  <r>
    <s v="ORDU SYLVERNUS"/>
    <x v="10"/>
    <x v="3"/>
    <x v="20"/>
    <n v="679"/>
    <n v="107"/>
    <n v="1135"/>
    <n v="16263592"/>
    <n v="166"/>
    <n v="69"/>
    <n v="686"/>
    <n v="6652897"/>
  </r>
  <r>
    <s v="IGBARAGO AYODEJI"/>
    <x v="12"/>
    <x v="3"/>
    <x v="21"/>
    <n v="291"/>
    <n v="71"/>
    <n v="914"/>
    <n v="14921402"/>
    <n v="135"/>
    <n v="50"/>
    <n v="498"/>
    <n v="5380050"/>
  </r>
  <r>
    <s v="OKHEMEHIMI BENALD EROMOSE"/>
    <x v="12"/>
    <x v="3"/>
    <x v="21"/>
    <n v="384"/>
    <n v="78"/>
    <n v="1259"/>
    <n v="16384165"/>
    <n v="148"/>
    <n v="76"/>
    <n v="948"/>
    <n v="8054700"/>
  </r>
  <r>
    <s v="ESHIORIAMEH SUSAN"/>
    <x v="12"/>
    <x v="3"/>
    <x v="21"/>
    <n v="811"/>
    <n v="194"/>
    <n v="1457"/>
    <n v="29416322"/>
    <n v="222"/>
    <n v="71"/>
    <n v="634"/>
    <n v="10419790"/>
  </r>
  <r>
    <s v="AKINOLA IFEOLUWA OLUWATOBI"/>
    <x v="10"/>
    <x v="3"/>
    <x v="22"/>
    <n v="475"/>
    <n v="78"/>
    <n v="560"/>
    <n v="4818318"/>
    <n v="125"/>
    <n v="31"/>
    <n v="222"/>
    <n v="1257420"/>
  </r>
  <r>
    <s v="GLORIA EFFIOM BASSEY"/>
    <x v="10"/>
    <x v="3"/>
    <x v="23"/>
    <n v="117"/>
    <n v="17"/>
    <n v="437"/>
    <n v="7365850"/>
    <n v="36"/>
    <n v="18"/>
    <n v="210"/>
    <n v="3694900"/>
  </r>
  <r>
    <s v="NEKPEN IZEKOR"/>
    <x v="12"/>
    <x v="3"/>
    <x v="24"/>
    <n v="513"/>
    <n v="168"/>
    <n v="1519"/>
    <n v="21525657"/>
    <n v="153"/>
    <n v="55"/>
    <n v="573"/>
    <n v="9177100"/>
  </r>
  <r>
    <s v="Okorie Nkeiruka"/>
    <x v="13"/>
    <x v="4"/>
    <x v="25"/>
    <n v="230"/>
    <n v="46"/>
    <n v="598"/>
    <n v="8619832"/>
    <n v="62"/>
    <n v="27"/>
    <n v="355"/>
    <n v="3684820"/>
  </r>
  <r>
    <s v="ONYIALOVETH IFUNANYA"/>
    <x v="14"/>
    <x v="4"/>
    <x v="26"/>
    <n v="4"/>
    <n v="3"/>
    <n v="9"/>
    <n v="95500"/>
    <n v="1"/>
    <n v="1"/>
    <n v="1"/>
    <n v="1700"/>
  </r>
  <r>
    <s v="NWODE EMMANUEL"/>
    <x v="13"/>
    <x v="4"/>
    <x v="26"/>
    <n v="1"/>
    <n v="0"/>
    <n v="0"/>
    <n v="0"/>
    <n v="11"/>
    <n v="8"/>
    <n v="0"/>
    <n v="0"/>
  </r>
  <r>
    <s v="UGORJI DIVINE"/>
    <x v="13"/>
    <x v="4"/>
    <x v="26"/>
    <n v="0"/>
    <n v="0"/>
    <n v="0"/>
    <n v="0"/>
    <n v="0"/>
    <n v="0"/>
    <n v="0"/>
    <n v="0"/>
  </r>
  <r>
    <s v="EGBUNA FRANCIS"/>
    <x v="13"/>
    <x v="4"/>
    <x v="26"/>
    <n v="360"/>
    <n v="54"/>
    <n v="440"/>
    <n v="8086414"/>
    <n v="111"/>
    <n v="19"/>
    <n v="166"/>
    <n v="3450350"/>
  </r>
  <r>
    <s v="ANYACHO FLORENCE"/>
    <x v="13"/>
    <x v="4"/>
    <x v="26"/>
    <n v="460"/>
    <n v="73"/>
    <n v="629"/>
    <n v="5542201"/>
    <n v="85"/>
    <n v="26"/>
    <n v="230"/>
    <n v="2499995"/>
  </r>
  <r>
    <s v="AGBAFOR HAPPINESS"/>
    <x v="14"/>
    <x v="4"/>
    <x v="26"/>
    <n v="147"/>
    <n v="22"/>
    <n v="419"/>
    <n v="2569664"/>
    <n v="30"/>
    <n v="10"/>
    <n v="86"/>
    <n v="1251950"/>
  </r>
  <r>
    <s v="OFFOEGBULEM GABRIEL"/>
    <x v="14"/>
    <x v="4"/>
    <x v="26"/>
    <n v="3"/>
    <n v="2"/>
    <n v="5"/>
    <n v="24650"/>
    <n v="6"/>
    <n v="5"/>
    <n v="2"/>
    <n v="1450"/>
  </r>
  <r>
    <s v="CHRIS CHIBUEZE ECHEFU"/>
    <x v="15"/>
    <x v="2"/>
    <x v="27"/>
    <n v="161"/>
    <n v="38"/>
    <n v="525"/>
    <n v="11852730"/>
    <n v="69"/>
    <n v="19"/>
    <n v="282"/>
    <n v="5215880"/>
  </r>
  <r>
    <s v="Peter Pam Dalyop"/>
    <x v="15"/>
    <x v="2"/>
    <x v="28"/>
    <n v="94"/>
    <n v="24"/>
    <n v="399"/>
    <n v="2918173"/>
    <n v="43"/>
    <n v="19"/>
    <n v="177"/>
    <n v="1632367"/>
  </r>
  <r>
    <s v="JAMES COLUMBUS"/>
    <x v="15"/>
    <x v="2"/>
    <x v="11"/>
    <n v="0"/>
    <n v="0"/>
    <n v="0"/>
    <n v="0"/>
    <n v="0"/>
    <n v="0"/>
    <n v="0"/>
    <n v="0"/>
  </r>
  <r>
    <s v="Julius John Winnew"/>
    <x v="15"/>
    <x v="2"/>
    <x v="11"/>
    <n v="0"/>
    <n v="0"/>
    <n v="0"/>
    <n v="0"/>
    <n v="0"/>
    <n v="0"/>
    <n v="0"/>
    <n v="0"/>
  </r>
  <r>
    <s v="ATAWADAN DENIS DANIEL"/>
    <x v="15"/>
    <x v="2"/>
    <x v="29"/>
    <n v="153"/>
    <n v="27"/>
    <n v="111"/>
    <n v="2343621"/>
    <n v="53"/>
    <n v="15"/>
    <n v="58"/>
    <n v="925080"/>
  </r>
  <r>
    <s v="YAHAYA ALI"/>
    <x v="15"/>
    <x v="2"/>
    <x v="30"/>
    <n v="97"/>
    <n v="8"/>
    <n v="43"/>
    <n v="1403989"/>
    <n v="34"/>
    <n v="5"/>
    <n v="25"/>
    <n v="538070"/>
  </r>
  <r>
    <s v="EDUOTU SOLOMON AKPOBOME"/>
    <x v="15"/>
    <x v="2"/>
    <x v="31"/>
    <n v="89"/>
    <n v="12"/>
    <n v="172"/>
    <n v="3073010"/>
    <n v="24"/>
    <n v="9"/>
    <n v="99"/>
    <n v="1707300"/>
  </r>
  <r>
    <s v="JOSHUA OSANYINBI"/>
    <x v="0"/>
    <x v="0"/>
    <x v="31"/>
    <n v="319"/>
    <n v="60"/>
    <n v="616"/>
    <n v="7983299"/>
    <n v="81"/>
    <n v="27"/>
    <n v="296"/>
    <n v="3055043"/>
  </r>
  <r>
    <s v="ATIDADE EMMANUEL OLAKUNLE"/>
    <x v="0"/>
    <x v="0"/>
    <x v="31"/>
    <n v="10"/>
    <n v="1"/>
    <n v="9"/>
    <n v="48450"/>
    <n v="4"/>
    <n v="1"/>
    <n v="9"/>
    <n v="48450"/>
  </r>
  <r>
    <s v="OLAKULEHIN MUSA KEHINDE"/>
    <x v="1"/>
    <x v="0"/>
    <x v="31"/>
    <n v="713"/>
    <n v="188"/>
    <n v="3610"/>
    <n v="40768364"/>
    <n v="304"/>
    <n v="121"/>
    <n v="2151"/>
    <n v="20419117"/>
  </r>
  <r>
    <s v="JOHN OVYE VICTOR"/>
    <x v="4"/>
    <x v="2"/>
    <x v="31"/>
    <n v="0"/>
    <n v="0"/>
    <n v="0"/>
    <n v="0"/>
    <n v="2"/>
    <n v="0"/>
    <n v="0"/>
    <n v="0"/>
  </r>
  <r>
    <s v="ADELEKE HANNAH SAMUEL"/>
    <x v="4"/>
    <x v="2"/>
    <x v="31"/>
    <n v="0"/>
    <n v="0"/>
    <n v="0"/>
    <n v="0"/>
    <n v="3"/>
    <n v="2"/>
    <n v="0"/>
    <n v="0"/>
  </r>
  <r>
    <s v="Joseph Darius"/>
    <x v="8"/>
    <x v="2"/>
    <x v="15"/>
    <n v="84"/>
    <n v="3"/>
    <n v="50"/>
    <n v="702000"/>
    <n v="30"/>
    <n v="13"/>
    <n v="21"/>
    <n v="393700"/>
  </r>
  <r>
    <s v="Emmanuel felix"/>
    <x v="8"/>
    <x v="2"/>
    <x v="15"/>
    <n v="160"/>
    <n v="16"/>
    <n v="324"/>
    <n v="5542955"/>
    <n v="35"/>
    <n v="17"/>
    <n v="216"/>
    <n v="2956370"/>
  </r>
  <r>
    <s v="Catherine Daniel"/>
    <x v="0"/>
    <x v="0"/>
    <x v="0"/>
    <n v="0"/>
    <n v="0"/>
    <n v="0"/>
    <n v="0"/>
    <n v="0"/>
    <n v="0"/>
    <n v="0"/>
    <n v="0"/>
  </r>
  <r>
    <s v="JOY JACOB OJOCHENEMI"/>
    <x v="3"/>
    <x v="2"/>
    <x v="6"/>
    <n v="299"/>
    <n v="39"/>
    <n v="384"/>
    <n v="4439853"/>
    <n v="113"/>
    <n v="25"/>
    <n v="232"/>
    <n v="2007710"/>
  </r>
  <r>
    <s v="ABOJE JONATHAN ADEGAH"/>
    <x v="3"/>
    <x v="2"/>
    <x v="6"/>
    <n v="345"/>
    <n v="30"/>
    <n v="249"/>
    <n v="1761740"/>
    <n v="71"/>
    <n v="21"/>
    <n v="128"/>
    <n v="1130610"/>
  </r>
  <r>
    <s v="Yahaya Bello"/>
    <x v="9"/>
    <x v="2"/>
    <x v="18"/>
    <n v="375"/>
    <n v="36"/>
    <n v="499"/>
    <n v="5997048"/>
    <n v="98"/>
    <n v="33"/>
    <n v="273"/>
    <n v="3180500"/>
  </r>
  <r>
    <s v="MOSES TOLORUNSOGBON"/>
    <x v="9"/>
    <x v="2"/>
    <x v="19"/>
    <n v="99"/>
    <n v="12"/>
    <n v="90"/>
    <n v="520180"/>
    <n v="38"/>
    <n v="14"/>
    <n v="50"/>
    <n v="397180"/>
  </r>
  <r>
    <s v="Ajayi Rilwan Adeyemi"/>
    <x v="2"/>
    <x v="1"/>
    <x v="1"/>
    <n v="0"/>
    <n v="0"/>
    <n v="0"/>
    <n v="0"/>
    <n v="9"/>
    <n v="4"/>
    <n v="0"/>
    <n v="0"/>
  </r>
  <r>
    <s v="Oluwatimilehin Christy Omotayo"/>
    <x v="16"/>
    <x v="0"/>
    <x v="0"/>
    <n v="0"/>
    <n v="0"/>
    <n v="0"/>
    <n v="0"/>
    <n v="1"/>
    <n v="1"/>
    <n v="0"/>
    <n v="0"/>
  </r>
  <r>
    <s v="Esther Godgift"/>
    <x v="16"/>
    <x v="0"/>
    <x v="0"/>
    <n v="0"/>
    <n v="0"/>
    <n v="0"/>
    <n v="0"/>
    <n v="3"/>
    <n v="2"/>
    <n v="0"/>
    <n v="0"/>
  </r>
  <r>
    <s v="Izunna Chinenye Jane"/>
    <x v="16"/>
    <x v="0"/>
    <x v="0"/>
    <n v="0"/>
    <n v="0"/>
    <n v="0"/>
    <n v="0"/>
    <n v="0"/>
    <n v="0"/>
    <n v="0"/>
    <n v="0"/>
  </r>
  <r>
    <s v="Mercy Ogbuagu"/>
    <x v="16"/>
    <x v="0"/>
    <x v="0"/>
    <n v="0"/>
    <n v="0"/>
    <n v="0"/>
    <n v="0"/>
    <n v="5"/>
    <n v="4"/>
    <n v="0"/>
    <n v="0"/>
  </r>
  <r>
    <s v="OMOBOLANLE OBAMOYEGUN"/>
    <x v="16"/>
    <x v="0"/>
    <x v="0"/>
    <n v="0"/>
    <n v="0"/>
    <n v="0"/>
    <n v="0"/>
    <n v="0"/>
    <n v="0"/>
    <n v="0"/>
    <n v="0"/>
  </r>
  <r>
    <s v="MERCY ADEYI"/>
    <x v="3"/>
    <x v="2"/>
    <x v="6"/>
    <n v="0"/>
    <n v="0"/>
    <n v="0"/>
    <n v="0"/>
    <n v="3"/>
    <n v="1"/>
    <n v="0"/>
    <n v="0"/>
  </r>
  <r>
    <s v="KAYODE DAMILOLA ESTHER"/>
    <x v="2"/>
    <x v="5"/>
    <x v="3"/>
    <n v="35"/>
    <n v="7"/>
    <n v="199"/>
    <n v="1714290"/>
    <n v="15"/>
    <n v="9"/>
    <n v="96"/>
    <n v="622890"/>
  </r>
  <r>
    <s v="SAKA SELIM ADEMOLA"/>
    <x v="2"/>
    <x v="5"/>
    <x v="3"/>
    <n v="0"/>
    <n v="0"/>
    <n v="0"/>
    <n v="0"/>
    <n v="4"/>
    <n v="3"/>
    <n v="0"/>
    <n v="0"/>
  </r>
  <r>
    <s v="JAMES BONIFACE"/>
    <x v="8"/>
    <x v="2"/>
    <x v="16"/>
    <n v="119"/>
    <n v="11"/>
    <n v="261"/>
    <n v="5852210"/>
    <n v="35"/>
    <n v="11"/>
    <n v="183"/>
    <n v="2805150"/>
  </r>
  <r>
    <s v="Attah Eima Ojochogu"/>
    <x v="3"/>
    <x v="2"/>
    <x v="6"/>
    <n v="0"/>
    <n v="0"/>
    <n v="0"/>
    <n v="0"/>
    <n v="7"/>
    <n v="4"/>
    <n v="0"/>
    <n v="0"/>
  </r>
  <r>
    <s v="SULYMAN HASSAN"/>
    <x v="7"/>
    <x v="2"/>
    <x v="14"/>
    <n v="345"/>
    <n v="57"/>
    <n v="507"/>
    <n v="4030309"/>
    <n v="105"/>
    <n v="28"/>
    <n v="283"/>
    <n v="1933950"/>
  </r>
  <r>
    <s v="Azurunwa Chimezie"/>
    <x v="9"/>
    <x v="2"/>
    <x v="32"/>
    <n v="92"/>
    <n v="6"/>
    <n v="2"/>
    <n v="25100"/>
    <n v="19"/>
    <n v="2"/>
    <n v="1"/>
    <n v="10100"/>
  </r>
  <r>
    <s v="IMOLE AYOKUNLE"/>
    <x v="2"/>
    <x v="5"/>
    <x v="4"/>
    <n v="365"/>
    <n v="58"/>
    <n v="328"/>
    <n v="3129073"/>
    <n v="84"/>
    <n v="27"/>
    <n v="152"/>
    <n v="1356800"/>
  </r>
  <r>
    <s v="ADEBISI ADETOMI OLAMIDE"/>
    <x v="16"/>
    <x v="5"/>
    <x v="0"/>
    <n v="0"/>
    <n v="0"/>
    <n v="0"/>
    <n v="0"/>
    <n v="0"/>
    <n v="0"/>
    <n v="0"/>
    <n v="0"/>
  </r>
  <r>
    <s v="AKOREDE ABDULGANIY SHEHU"/>
    <x v="3"/>
    <x v="5"/>
    <x v="6"/>
    <n v="0"/>
    <n v="0"/>
    <n v="0"/>
    <n v="0"/>
    <n v="8"/>
    <n v="4"/>
    <n v="0"/>
    <n v="0"/>
  </r>
  <r>
    <s v="CHIWUZIE VICTOR CHUKWUNONSO"/>
    <x v="3"/>
    <x v="5"/>
    <x v="6"/>
    <n v="0"/>
    <n v="0"/>
    <n v="0"/>
    <n v="0"/>
    <n v="2"/>
    <n v="2"/>
    <n v="0"/>
    <n v="0"/>
  </r>
  <r>
    <s v="BERNARD EMEKA EMMANUEL"/>
    <x v="16"/>
    <x v="0"/>
    <x v="0"/>
    <n v="0"/>
    <n v="0"/>
    <n v="0"/>
    <n v="0"/>
    <n v="0"/>
    <n v="0"/>
    <n v="0"/>
    <n v="0"/>
  </r>
  <r>
    <s v="AZEEZ IDRIS"/>
    <x v="16"/>
    <x v="0"/>
    <x v="0"/>
    <n v="0"/>
    <n v="0"/>
    <n v="0"/>
    <n v="0"/>
    <n v="0"/>
    <n v="0"/>
    <n v="0"/>
    <n v="0"/>
  </r>
  <r>
    <s v="MESOGBORIWON OLUWAGBENGA"/>
    <x v="2"/>
    <x v="5"/>
    <x v="5"/>
    <n v="313"/>
    <n v="49"/>
    <n v="745"/>
    <n v="9971354"/>
    <n v="86"/>
    <n v="43"/>
    <n v="541"/>
    <n v="4250710"/>
  </r>
  <r>
    <s v="IKEJIOFOR EKENE"/>
    <x v="16"/>
    <x v="0"/>
    <x v="0"/>
    <n v="0"/>
    <n v="0"/>
    <n v="0"/>
    <n v="0"/>
    <n v="0"/>
    <n v="0"/>
    <n v="0"/>
    <n v="0"/>
  </r>
  <r>
    <s v="BENSON NAOMI"/>
    <x v="16"/>
    <x v="0"/>
    <x v="0"/>
    <n v="0"/>
    <n v="0"/>
    <n v="0"/>
    <n v="0"/>
    <n v="0"/>
    <n v="0"/>
    <n v="0"/>
    <n v="0"/>
  </r>
  <r>
    <s v="HARRISON NELLY"/>
    <x v="16"/>
    <x v="0"/>
    <x v="0"/>
    <n v="0"/>
    <n v="0"/>
    <n v="0"/>
    <n v="0"/>
    <n v="0"/>
    <n v="0"/>
    <n v="0"/>
    <n v="0"/>
  </r>
  <r>
    <s v="JAMIU IFEDAMOLA RUKAYAT"/>
    <x v="2"/>
    <x v="5"/>
    <x v="2"/>
    <n v="349"/>
    <n v="55"/>
    <n v="959"/>
    <n v="20780969"/>
    <n v="87"/>
    <n v="35"/>
    <n v="472"/>
    <n v="10118919"/>
  </r>
  <r>
    <s v="AKANJI MATTHEW"/>
    <x v="9"/>
    <x v="5"/>
    <x v="1"/>
    <n v="388"/>
    <n v="34"/>
    <n v="346"/>
    <n v="3920600"/>
    <n v="36"/>
    <n v="16"/>
    <n v="165"/>
    <n v="2076930"/>
  </r>
  <r>
    <s v="BELLO HAMMED"/>
    <x v="2"/>
    <x v="5"/>
    <x v="1"/>
    <n v="480"/>
    <n v="61"/>
    <n v="575"/>
    <n v="6916272"/>
    <n v="53"/>
    <n v="15"/>
    <n v="147"/>
    <n v="1992050"/>
  </r>
  <r>
    <s v="AJULO OLUWATOSIN"/>
    <x v="9"/>
    <x v="5"/>
    <x v="1"/>
    <n v="505"/>
    <n v="44"/>
    <n v="663"/>
    <n v="6493892"/>
    <n v="58"/>
    <n v="19"/>
    <n v="281"/>
    <n v="281720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0">
  <r>
    <x v="0"/>
    <s v="OBA FRIDAY"/>
    <s v="Ozioko Nkem"/>
    <s v="LAGOS"/>
    <n v="448"/>
    <n v="88"/>
    <n v="7221"/>
    <n v="70679596"/>
    <n v="118"/>
    <n v="54"/>
    <n v="4559"/>
    <n v="30606970"/>
  </r>
  <r>
    <x v="1"/>
    <s v="OBA FRIDAY"/>
    <s v="Ozioko Nkem"/>
    <s v="LAGOS"/>
    <n v="404"/>
    <n v="108"/>
    <n v="11529"/>
    <n v="121580220"/>
    <n v="162"/>
    <n v="89"/>
    <n v="6153"/>
    <n v="65154972"/>
  </r>
  <r>
    <x v="2"/>
    <s v="OBA FRIDAY"/>
    <s v="Ozioko Nkem"/>
    <s v="LAGOS"/>
    <n v="255"/>
    <n v="39"/>
    <n v="4145"/>
    <n v="39395698"/>
    <n v="73"/>
    <n v="54"/>
    <n v="3303"/>
    <n v="20808270"/>
  </r>
  <r>
    <x v="3"/>
    <s v="OBA FRIDAY"/>
    <s v="Ozioko Nkem"/>
    <s v="LAGOS"/>
    <n v="403"/>
    <n v="117"/>
    <n v="8014"/>
    <n v="107613246"/>
    <n v="101"/>
    <n v="46"/>
    <n v="3007"/>
    <n v="38467340"/>
  </r>
  <r>
    <x v="4"/>
    <s v="OBA FRIDAY"/>
    <s v="Ozioko Nkem"/>
    <s v="LAGOS"/>
    <n v="363"/>
    <n v="105"/>
    <n v="7076"/>
    <n v="64972782"/>
    <n v="114"/>
    <n v="55"/>
    <n v="4005"/>
    <n v="32721652"/>
  </r>
  <r>
    <x v="5"/>
    <s v="SAMUEL OLAWALE BODUNDE"/>
    <s v="Ozioko Nkem"/>
    <s v="LAGOS"/>
    <n v="360"/>
    <n v="88"/>
    <n v="8854"/>
    <n v="114183862"/>
    <n v="140"/>
    <n v="73"/>
    <n v="4959"/>
    <n v="54854482"/>
  </r>
  <r>
    <x v="6"/>
    <s v="OBA FRIDAY"/>
    <s v="Ozioko Nkem"/>
    <s v="LAGOS"/>
    <n v="395"/>
    <n v="59"/>
    <n v="5679"/>
    <n v="132588853"/>
    <n v="85"/>
    <n v="33"/>
    <n v="2938"/>
    <n v="37749250"/>
  </r>
  <r>
    <x v="7"/>
    <s v="OBA FRIDAY"/>
    <s v="Ozioko Nkem"/>
    <s v="LAGOS"/>
    <n v="498"/>
    <n v="73"/>
    <n v="8033"/>
    <n v="172787169"/>
    <n v="125"/>
    <n v="36"/>
    <n v="4481"/>
    <n v="60131070"/>
  </r>
  <r>
    <x v="8"/>
    <s v="OBA FRIDAY"/>
    <s v="Ozioko Nkem"/>
    <s v="LAGOS"/>
    <n v="443"/>
    <n v="87"/>
    <n v="7559"/>
    <n v="72479497"/>
    <n v="94"/>
    <n v="34"/>
    <n v="3097"/>
    <n v="23912039"/>
  </r>
  <r>
    <x v="9"/>
    <s v="OBA FRIDAY"/>
    <s v="Ozioko Nkem"/>
    <s v="LAGOS"/>
    <n v="0"/>
    <n v="0"/>
    <n v="0"/>
    <n v="0"/>
    <n v="0"/>
    <n v="0"/>
    <n v="0"/>
    <n v="0"/>
  </r>
  <r>
    <x v="10"/>
    <s v="SAMUEL OLAWALE BODUNDE"/>
    <s v="Ozioko Nkem"/>
    <s v="LAGOS"/>
    <n v="213"/>
    <n v="49"/>
    <n v="5423"/>
    <n v="88257821"/>
    <n v="77"/>
    <n v="45"/>
    <n v="2898"/>
    <n v="21721570"/>
  </r>
  <r>
    <x v="11"/>
    <s v="SAMUEL OLAWALE BODUNDE"/>
    <s v="Ozioko Nkem"/>
    <s v="LAGOS"/>
    <n v="545"/>
    <n v="154"/>
    <n v="22915"/>
    <n v="272253806"/>
    <n v="197"/>
    <n v="131"/>
    <n v="11457"/>
    <n v="112956545"/>
  </r>
  <r>
    <x v="12"/>
    <s v="OYENIYI QUDUS"/>
    <s v="Ekerette George"/>
    <s v="OYO"/>
    <n v="388"/>
    <n v="71"/>
    <n v="6684"/>
    <n v="72889502"/>
    <n v="70"/>
    <n v="50"/>
    <n v="3496"/>
    <n v="33865474"/>
  </r>
  <r>
    <x v="13"/>
    <s v="OYENIYI QUDUS"/>
    <s v="Ekerette George"/>
    <s v="OYO"/>
    <n v="574"/>
    <n v="125"/>
    <n v="16240"/>
    <n v="179516513"/>
    <n v="174"/>
    <n v="104"/>
    <n v="10025"/>
    <n v="84971461"/>
  </r>
  <r>
    <x v="14"/>
    <s v="OYENIYI QUDUS"/>
    <s v="Ekerette George"/>
    <s v="OYO"/>
    <n v="0"/>
    <n v="0"/>
    <n v="0"/>
    <n v="0"/>
    <n v="0"/>
    <n v="0"/>
    <n v="0"/>
    <n v="0"/>
  </r>
  <r>
    <x v="15"/>
    <s v="OYENIYI QUDUS"/>
    <s v="Ekerette George"/>
    <s v="OGUN"/>
    <n v="0"/>
    <n v="0"/>
    <n v="0"/>
    <n v="0"/>
    <n v="0"/>
    <n v="0"/>
    <n v="0"/>
    <n v="0"/>
  </r>
  <r>
    <x v="16"/>
    <s v="OYENIYI QUDUS"/>
    <s v="Ekerette George"/>
    <s v="OSUN"/>
    <n v="756"/>
    <n v="195"/>
    <n v="12085"/>
    <n v="154142744"/>
    <n v="155"/>
    <n v="103"/>
    <n v="7030"/>
    <n v="58186575"/>
  </r>
  <r>
    <x v="17"/>
    <s v="OYENIYI QUDUS"/>
    <s v="Ekerette George"/>
    <s v="OSUN"/>
    <n v="575"/>
    <n v="119"/>
    <n v="10776"/>
    <n v="154308573"/>
    <n v="138"/>
    <n v="97"/>
    <n v="6591"/>
    <n v="61438286"/>
  </r>
  <r>
    <x v="18"/>
    <s v="OYENIYI QUDUS"/>
    <s v="Ekerette George"/>
    <s v="ONDO"/>
    <n v="0"/>
    <n v="0"/>
    <n v="0"/>
    <n v="0"/>
    <n v="0"/>
    <n v="0"/>
    <n v="0"/>
    <n v="0"/>
  </r>
  <r>
    <x v="19"/>
    <s v="OYENIYI QUDUS"/>
    <s v="Ekerette George"/>
    <s v="EKITI"/>
    <n v="0"/>
    <n v="0"/>
    <n v="0"/>
    <n v="0"/>
    <n v="0"/>
    <n v="0"/>
    <n v="0"/>
    <n v="0"/>
  </r>
  <r>
    <x v="20"/>
    <s v="JEGEDE OLUWAKEMI VICTORIA"/>
    <s v="Augustine Idoko"/>
    <s v="FCT"/>
    <n v="543"/>
    <n v="75"/>
    <n v="5981"/>
    <n v="54065363"/>
    <n v="114"/>
    <n v="48"/>
    <n v="2797"/>
    <n v="23605760"/>
  </r>
  <r>
    <x v="21"/>
    <s v="JEGEDE OLUWAKEMI VICTORIA"/>
    <s v="Augustine Idoko"/>
    <s v="FCT"/>
    <n v="466"/>
    <n v="83"/>
    <n v="7431"/>
    <n v="112732514"/>
    <n v="136"/>
    <n v="58"/>
    <n v="4617"/>
    <n v="51577872"/>
  </r>
  <r>
    <x v="22"/>
    <s v="JEGEDE OLUWAKEMI VICTORIA"/>
    <s v="Augustine Idoko"/>
    <s v="NASSARAWA"/>
    <n v="330"/>
    <n v="36"/>
    <n v="8547"/>
    <n v="86405361"/>
    <n v="91"/>
    <n v="47"/>
    <n v="6374"/>
    <n v="50890660"/>
  </r>
  <r>
    <x v="23"/>
    <s v="JEGEDE OLUWAKEMI VICTORIA"/>
    <s v="Augustine Idoko"/>
    <s v="FCT"/>
    <n v="349"/>
    <n v="43"/>
    <n v="2326"/>
    <n v="29619236"/>
    <n v="76"/>
    <n v="33"/>
    <n v="884"/>
    <n v="12336676"/>
  </r>
  <r>
    <x v="24"/>
    <s v="JEGEDE OLUWAKEMI VICTORIA"/>
    <s v="Augustine Idoko"/>
    <s v="BENUE"/>
    <n v="336"/>
    <n v="44"/>
    <n v="4518"/>
    <n v="57707740"/>
    <n v="64"/>
    <n v="38"/>
    <n v="2441"/>
    <n v="27116582"/>
  </r>
  <r>
    <x v="25"/>
    <s v="JEGEDE OLUWAKEMI VICTORIA"/>
    <s v="Augustine Idoko"/>
    <s v="KOGI"/>
    <n v="147"/>
    <n v="27"/>
    <n v="1350"/>
    <n v="16894555"/>
    <n v="35"/>
    <n v="22"/>
    <n v="607"/>
    <n v="6712700"/>
  </r>
  <r>
    <x v="26"/>
    <s v="JEGEDE OLUWAKEMI VICTORIA"/>
    <s v="Augustine Idoko"/>
    <s v="KOGI"/>
    <n v="391"/>
    <n v="37"/>
    <n v="2056"/>
    <n v="44365403"/>
    <n v="46"/>
    <n v="25"/>
    <n v="1111"/>
    <n v="14419850"/>
  </r>
  <r>
    <x v="27"/>
    <s v="AYORINDE OMOWUMI"/>
    <s v="Augustine Idoko"/>
    <s v="PLATEAU"/>
    <n v="511"/>
    <n v="78"/>
    <n v="9311"/>
    <n v="124854002"/>
    <n v="99"/>
    <n v="46"/>
    <n v="4997"/>
    <n v="46004883"/>
  </r>
  <r>
    <x v="28"/>
    <s v="AYORINDE OMOWUMI"/>
    <s v="Augustine Idoko"/>
    <s v="PLATEAU"/>
    <n v="0"/>
    <n v="0"/>
    <n v="0"/>
    <n v="0"/>
    <n v="12"/>
    <n v="11"/>
    <n v="0"/>
    <n v="0"/>
  </r>
  <r>
    <x v="29"/>
    <s v="AYORINDE OMOWUMI"/>
    <s v="Augustine Idoko"/>
    <s v="TARABA"/>
    <n v="232"/>
    <n v="46"/>
    <n v="4586"/>
    <n v="52471269"/>
    <n v="100"/>
    <n v="41"/>
    <n v="2475"/>
    <n v="22002210"/>
  </r>
  <r>
    <x v="30"/>
    <s v="AYORINDE OMOWUMI"/>
    <s v="Augustine Idoko"/>
    <s v="PLATEAU"/>
    <n v="384"/>
    <n v="75"/>
    <n v="5048"/>
    <n v="77311784"/>
    <n v="81"/>
    <n v="52"/>
    <n v="2797"/>
    <n v="39873865"/>
  </r>
  <r>
    <x v="31"/>
    <s v="AYORINDE OMOWUMI"/>
    <s v="Augustine Idoko"/>
    <s v="PLATEAU"/>
    <n v="291"/>
    <n v="56"/>
    <n v="3949"/>
    <n v="82222928"/>
    <n v="89"/>
    <n v="42"/>
    <n v="2867"/>
    <n v="43252754"/>
  </r>
  <r>
    <x v="32"/>
    <s v="MOSES JOSEPH ATUNGWU"/>
    <s v="Augustine Idoko"/>
    <s v="KADUNA"/>
    <n v="566"/>
    <n v="31"/>
    <n v="3282"/>
    <n v="42423704"/>
    <n v="60"/>
    <n v="20"/>
    <n v="1682"/>
    <n v="18468235"/>
  </r>
  <r>
    <x v="33"/>
    <s v="MOSES JOSEPH ATUNGWU"/>
    <s v="Augustine Idoko"/>
    <s v="KADUNA"/>
    <n v="267"/>
    <n v="32"/>
    <n v="2787"/>
    <n v="29644787"/>
    <n v="47"/>
    <n v="28"/>
    <n v="1536"/>
    <n v="13516816"/>
  </r>
  <r>
    <x v="34"/>
    <s v="MOSES JOSEPH ATUNGWU"/>
    <s v="Augustine Idoko"/>
    <s v="KADUNA"/>
    <n v="275"/>
    <n v="23"/>
    <n v="1938"/>
    <n v="19452679"/>
    <n v="36"/>
    <n v="21"/>
    <n v="1224"/>
    <n v="9180925"/>
  </r>
  <r>
    <x v="35"/>
    <s v="ABDULRAHEEM AHMED"/>
    <s v="Augustine Idoko"/>
    <s v="NIGER"/>
    <n v="164"/>
    <n v="47"/>
    <n v="4313"/>
    <n v="50508210"/>
    <n v="74"/>
    <n v="41"/>
    <n v="2710"/>
    <n v="26861845"/>
  </r>
  <r>
    <x v="36"/>
    <s v="ADESHINA SHERIFF ADELEKE"/>
    <s v="Augustine Idoko"/>
    <s v="KWARA"/>
    <n v="108"/>
    <n v="20"/>
    <n v="1283"/>
    <n v="8572771"/>
    <n v="48"/>
    <n v="23"/>
    <n v="618"/>
    <n v="4656699"/>
  </r>
  <r>
    <x v="37"/>
    <s v="ADESHINA SHERIFF ADELEKE"/>
    <s v="Augustine Idoko"/>
    <s v="NIGER"/>
    <n v="298"/>
    <n v="53"/>
    <n v="3982"/>
    <n v="50761947"/>
    <n v="100"/>
    <n v="43"/>
    <n v="2436"/>
    <n v="25367566"/>
  </r>
  <r>
    <x v="38"/>
    <s v="ABDULRAHEEM AHMED"/>
    <s v="Augustine Idoko"/>
    <s v="NIGER"/>
    <n v="311"/>
    <n v="46"/>
    <n v="4251"/>
    <n v="56776361"/>
    <n v="91"/>
    <n v="40"/>
    <n v="2759"/>
    <n v="30499252"/>
  </r>
  <r>
    <x v="39"/>
    <s v="ABDULRAHEEM AHMED"/>
    <s v="Augustine Idoko"/>
    <s v="NIGER"/>
    <n v="115"/>
    <n v="22"/>
    <n v="729"/>
    <n v="11963756"/>
    <n v="41"/>
    <n v="22"/>
    <n v="461"/>
    <n v="4970150"/>
  </r>
  <r>
    <x v="40"/>
    <s v="ADESHINA SHERIFF ADELEKE"/>
    <s v="Augustine Idoko"/>
    <s v="KWARA"/>
    <n v="462"/>
    <n v="165"/>
    <n v="15090"/>
    <n v="121528563"/>
    <n v="167"/>
    <n v="88"/>
    <n v="8241"/>
    <n v="53720714"/>
  </r>
  <r>
    <x v="41"/>
    <s v="ADESHINA SHERIFF ADELEKE"/>
    <s v="Augustine Idoko"/>
    <s v="KWARA"/>
    <n v="142"/>
    <n v="38"/>
    <n v="3165"/>
    <n v="33199891"/>
    <n v="60"/>
    <n v="39"/>
    <n v="1805"/>
    <n v="16549040"/>
  </r>
  <r>
    <x v="42"/>
    <s v="OLADIPO ADAMOLEKUN"/>
    <s v="Augustine Idoko"/>
    <s v="KANO"/>
    <n v="393"/>
    <n v="70"/>
    <n v="11578"/>
    <n v="188842523"/>
    <n v="113"/>
    <n v="66"/>
    <n v="9576"/>
    <n v="166395602"/>
  </r>
  <r>
    <x v="43"/>
    <s v="OLADIPO ADAMOLEKUN"/>
    <s v="Augustine Idoko"/>
    <s v="KANO"/>
    <n v="550"/>
    <n v="93"/>
    <n v="10598"/>
    <n v="102327722"/>
    <n v="149"/>
    <n v="70"/>
    <n v="7046"/>
    <n v="47660010"/>
  </r>
  <r>
    <x v="44"/>
    <s v="OLADIPO ADAMOLEKUN"/>
    <s v="Augustine Idoko"/>
    <s v="KATSINA"/>
    <n v="321"/>
    <n v="74"/>
    <n v="15327"/>
    <n v="213186730"/>
    <n v="118"/>
    <n v="72"/>
    <n v="9756"/>
    <n v="102793516"/>
  </r>
  <r>
    <x v="45"/>
    <s v="OLADIPO ADAMOLEKUN"/>
    <s v="Augustine Idoko"/>
    <s v="KATSINA"/>
    <n v="0"/>
    <n v="0"/>
    <n v="0"/>
    <n v="0"/>
    <n v="0"/>
    <n v="0"/>
    <n v="0"/>
    <n v="0"/>
  </r>
  <r>
    <x v="46"/>
    <s v="OLADIPO ADAMOLEKUN"/>
    <s v="Augustine Idoko"/>
    <s v="JIGAWA"/>
    <n v="239"/>
    <n v="27"/>
    <n v="3523"/>
    <n v="32669360"/>
    <n v="59"/>
    <n v="21"/>
    <n v="1977"/>
    <n v="21091331"/>
  </r>
  <r>
    <x v="47"/>
    <s v="BASHAR YAKUB ABDULAZEEZ"/>
    <s v="Augustine Idoko"/>
    <s v="KEBBI"/>
    <n v="0"/>
    <n v="0"/>
    <n v="0"/>
    <n v="0"/>
    <n v="0"/>
    <n v="0"/>
    <n v="0"/>
    <n v="0"/>
  </r>
  <r>
    <x v="48"/>
    <s v="BASHAR YAKUB ABDULAZEEZ"/>
    <s v="Augustine Idoko"/>
    <s v="SOKOTO"/>
    <n v="327"/>
    <n v="75"/>
    <n v="12870"/>
    <n v="179756515"/>
    <n v="95"/>
    <n v="64"/>
    <n v="6645"/>
    <n v="75161974"/>
  </r>
  <r>
    <x v="49"/>
    <s v="LUCKY OISEOMOKHAI"/>
    <s v="IBEGBULEM EZENWACHIDI"/>
    <s v="RIVERS"/>
    <n v="310"/>
    <n v="98"/>
    <n v="16872"/>
    <n v="237811504"/>
    <n v="145"/>
    <n v="114"/>
    <n v="11880"/>
    <n v="126798382"/>
  </r>
  <r>
    <x v="50"/>
    <s v="LUCKY OISEOMOKHAI"/>
    <s v="IBEGBULEM EZENWACHIDI"/>
    <s v="RIVERS"/>
    <n v="519"/>
    <n v="155"/>
    <n v="28623"/>
    <n v="359990196"/>
    <n v="216"/>
    <n v="135"/>
    <n v="17724"/>
    <n v="172890567"/>
  </r>
  <r>
    <x v="51"/>
    <s v="ALINTA CHUKWU"/>
    <s v="IBEGBULEM EZENWACHIDI"/>
    <s v="RIVERS"/>
    <n v="202"/>
    <n v="63"/>
    <n v="10276"/>
    <n v="112808928"/>
    <n v="91"/>
    <n v="53"/>
    <n v="7070"/>
    <n v="52239360"/>
  </r>
  <r>
    <x v="52"/>
    <s v="ALINTA CHUKWU"/>
    <s v="IBEGBULEM EZENWACHIDI"/>
    <s v="RIVERS"/>
    <n v="203"/>
    <n v="57"/>
    <n v="10024"/>
    <n v="112591091"/>
    <n v="82"/>
    <n v="65"/>
    <n v="6075"/>
    <n v="52452553"/>
  </r>
  <r>
    <x v="53"/>
    <s v="ALINTA CHUKWU"/>
    <s v="IBEGBULEM EZENWACHIDI"/>
    <s v="RIVERS"/>
    <n v="351"/>
    <n v="88"/>
    <n v="14193"/>
    <n v="195442313"/>
    <n v="129"/>
    <n v="90"/>
    <n v="9865"/>
    <n v="104433088"/>
  </r>
  <r>
    <x v="54"/>
    <s v="ALINTA CHUKWU"/>
    <s v="IBEGBULEM EZENWACHIDI"/>
    <s v="RIVERS"/>
    <n v="0"/>
    <n v="0"/>
    <n v="0"/>
    <n v="0"/>
    <n v="10"/>
    <n v="9"/>
    <n v="0"/>
    <n v="0"/>
  </r>
  <r>
    <x v="55"/>
    <s v="ALINTA CHUKWU"/>
    <s v="IBEGBULEM EZENWACHIDI"/>
    <s v="RIVERS"/>
    <n v="9"/>
    <n v="4"/>
    <n v="523"/>
    <n v="5361931"/>
    <n v="18"/>
    <n v="17"/>
    <n v="335"/>
    <n v="2564620"/>
  </r>
  <r>
    <x v="56"/>
    <s v="LUCKY OISEOMOKHAI"/>
    <s v="IBEGBULEM EZENWACHIDI"/>
    <s v="RIVERS"/>
    <n v="7"/>
    <n v="7"/>
    <n v="551"/>
    <n v="12249890"/>
    <n v="45"/>
    <n v="44"/>
    <n v="284"/>
    <n v="5923500"/>
  </r>
  <r>
    <x v="57"/>
    <s v="LUCKY OISEOMOKHAI"/>
    <s v="IBEGBULEM EZENWACHIDI"/>
    <s v="RIVERS"/>
    <n v="3"/>
    <n v="0"/>
    <n v="0"/>
    <n v="0"/>
    <n v="4"/>
    <n v="3"/>
    <n v="0"/>
    <n v="0"/>
  </r>
  <r>
    <x v="58"/>
    <s v="LUCKY OISEOMOKHAI"/>
    <s v="IBEGBULEM EZENWACHIDI"/>
    <s v="RIVERS"/>
    <n v="461"/>
    <n v="128"/>
    <n v="15395"/>
    <n v="206033166"/>
    <n v="173"/>
    <n v="127"/>
    <n v="9902"/>
    <n v="104597000"/>
  </r>
  <r>
    <x v="59"/>
    <s v="LUCKY OISEOMOKHAI"/>
    <s v="IBEGBULEM EZENWACHIDI"/>
    <s v="RIVERS"/>
    <n v="679"/>
    <n v="122"/>
    <n v="12184"/>
    <n v="200360153"/>
    <n v="167"/>
    <n v="105"/>
    <n v="7466"/>
    <n v="81439701"/>
  </r>
  <r>
    <x v="60"/>
    <s v="ENUDI ISIOMA SANDRA"/>
    <s v="IBEGBULEM EZENWACHIDI"/>
    <s v="EDO"/>
    <n v="291"/>
    <n v="84"/>
    <n v="8212"/>
    <n v="101040530"/>
    <n v="135"/>
    <n v="72"/>
    <n v="4854"/>
    <n v="43117286"/>
  </r>
  <r>
    <x v="61"/>
    <s v="ENUDI ISIOMA SANDRA"/>
    <s v="IBEGBULEM EZENWACHIDI"/>
    <s v="EDO"/>
    <n v="384"/>
    <n v="96"/>
    <n v="10877"/>
    <n v="139403592"/>
    <n v="148"/>
    <n v="101"/>
    <n v="7803"/>
    <n v="69188837"/>
  </r>
  <r>
    <x v="62"/>
    <s v="ENUDI ISIOMA SANDRA"/>
    <s v="IBEGBULEM EZENWACHIDI"/>
    <s v="EDO"/>
    <n v="811"/>
    <n v="239"/>
    <n v="15833"/>
    <n v="284097907"/>
    <n v="222"/>
    <n v="120"/>
    <n v="8003"/>
    <n v="113622829"/>
  </r>
  <r>
    <x v="63"/>
    <s v="LUCKY OISEOMOKHAI"/>
    <s v="IBEGBULEM EZENWACHIDI"/>
    <s v="AKWA IBOM"/>
    <n v="475"/>
    <n v="102"/>
    <n v="6052"/>
    <n v="48601239"/>
    <n v="125"/>
    <n v="54"/>
    <n v="2451"/>
    <n v="21257555"/>
  </r>
  <r>
    <x v="64"/>
    <s v="LUCKY OISEOMOKHAI"/>
    <s v="IBEGBULEM EZENWACHIDI"/>
    <s v="CROSS RIVER"/>
    <n v="117"/>
    <n v="18"/>
    <n v="4000"/>
    <n v="54364020"/>
    <n v="36"/>
    <n v="23"/>
    <n v="1921"/>
    <n v="27007026"/>
  </r>
  <r>
    <x v="65"/>
    <s v="ENUDI ISIOMA SANDRA"/>
    <s v="IBEGBULEM EZENWACHIDI"/>
    <s v="DELTA"/>
    <n v="513"/>
    <n v="195"/>
    <n v="14566"/>
    <n v="188399252"/>
    <n v="153"/>
    <n v="88"/>
    <n v="5796"/>
    <n v="76985540"/>
  </r>
  <r>
    <x v="66"/>
    <s v="DURUAKU CHUKWUDI PRISDOM"/>
    <s v="Nnachi Collins Nnanna"/>
    <s v="IMO"/>
    <n v="230"/>
    <n v="47"/>
    <n v="5623"/>
    <n v="74268125"/>
    <n v="62"/>
    <n v="32"/>
    <n v="3104"/>
    <n v="29500066"/>
  </r>
  <r>
    <x v="67"/>
    <s v="UDUEBOR, MARVELOUS IHENYEN"/>
    <s v="Nnachi Collins Nnanna"/>
    <s v="ENUGU"/>
    <n v="4"/>
    <n v="3"/>
    <n v="92"/>
    <n v="255451"/>
    <n v="1"/>
    <n v="1"/>
    <n v="37"/>
    <n v="105800"/>
  </r>
  <r>
    <x v="68"/>
    <s v="DURUAKU CHUKWUDI PRISDOM"/>
    <s v="Nnachi Collins Nnanna"/>
    <s v="ENUGU"/>
    <n v="1"/>
    <n v="0"/>
    <n v="0"/>
    <n v="0"/>
    <n v="11"/>
    <n v="11"/>
    <n v="0"/>
    <n v="0"/>
  </r>
  <r>
    <x v="69"/>
    <s v="DURUAKU CHUKWUDI PRISDOM"/>
    <s v="Nnachi Collins Nnanna"/>
    <s v="ENUGU"/>
    <n v="0"/>
    <n v="0"/>
    <n v="0"/>
    <n v="0"/>
    <n v="0"/>
    <n v="0"/>
    <n v="0"/>
    <n v="0"/>
  </r>
  <r>
    <x v="70"/>
    <s v="DURUAKU CHUKWUDI PRISDOM"/>
    <s v="Nnachi Collins Nnanna"/>
    <s v="ENUGU"/>
    <n v="360"/>
    <n v="74"/>
    <n v="4890"/>
    <n v="72530348"/>
    <n v="111"/>
    <n v="44"/>
    <n v="1896"/>
    <n v="30674145"/>
  </r>
  <r>
    <x v="71"/>
    <s v="DURUAKU CHUKWUDI PRISDOM"/>
    <s v="Nnachi Collins Nnanna"/>
    <s v="ENUGU"/>
    <n v="460"/>
    <n v="92"/>
    <n v="5819"/>
    <n v="61542518"/>
    <n v="85"/>
    <n v="37"/>
    <n v="2212"/>
    <n v="27551190"/>
  </r>
  <r>
    <x v="72"/>
    <s v="UDUEBOR, MARVELOUS IHENYEN"/>
    <s v="Nnachi Collins Nnanna"/>
    <s v="ENUGU"/>
    <n v="147"/>
    <n v="25"/>
    <n v="4418"/>
    <n v="22762191"/>
    <n v="30"/>
    <n v="19"/>
    <n v="1084"/>
    <n v="11060068"/>
  </r>
  <r>
    <x v="73"/>
    <s v="UDUEBOR, MARVELOUS IHENYEN"/>
    <s v="Nnachi Collins Nnanna"/>
    <s v="ENUGU"/>
    <n v="3"/>
    <n v="1"/>
    <n v="15"/>
    <n v="153210"/>
    <n v="6"/>
    <n v="6"/>
    <n v="12"/>
    <n v="77710"/>
  </r>
  <r>
    <x v="74"/>
    <s v="FATOKE ADEWALE OMOTAYO"/>
    <s v="Augustine Idoko"/>
    <s v="GOMBE"/>
    <n v="161"/>
    <n v="50"/>
    <n v="4097"/>
    <n v="81757839"/>
    <n v="69"/>
    <n v="30"/>
    <n v="2167"/>
    <n v="35734156"/>
  </r>
  <r>
    <x v="75"/>
    <s v="FATOKE ADEWALE OMOTAYO"/>
    <s v="Augustine Idoko"/>
    <s v="BAUCHI"/>
    <n v="94"/>
    <n v="26"/>
    <n v="5693"/>
    <n v="34317827"/>
    <n v="43"/>
    <n v="26"/>
    <n v="2453"/>
    <n v="17789967"/>
  </r>
  <r>
    <x v="76"/>
    <s v="FATOKE ADEWALE OMOTAYO"/>
    <s v="Augustine Idoko"/>
    <s v="TARABA"/>
    <n v="0"/>
    <n v="0"/>
    <n v="0"/>
    <n v="0"/>
    <n v="0"/>
    <n v="0"/>
    <n v="0"/>
    <n v="0"/>
  </r>
  <r>
    <x v="77"/>
    <s v="FATOKE ADEWALE OMOTAYO"/>
    <s v="Augustine Idoko"/>
    <s v="TARABA"/>
    <n v="0"/>
    <n v="0"/>
    <n v="0"/>
    <n v="0"/>
    <n v="0"/>
    <n v="0"/>
    <n v="0"/>
    <n v="0"/>
  </r>
  <r>
    <x v="78"/>
    <s v="FATOKE ADEWALE OMOTAYO"/>
    <s v="Augustine Idoko"/>
    <s v="ADAMAWA"/>
    <n v="153"/>
    <n v="40"/>
    <n v="1480"/>
    <n v="28159398"/>
    <n v="53"/>
    <n v="22"/>
    <n v="809"/>
    <n v="13975740"/>
  </r>
  <r>
    <x v="79"/>
    <s v="FATOKE ADEWALE OMOTAYO"/>
    <s v="Augustine Idoko"/>
    <s v="BORNO"/>
    <n v="97"/>
    <n v="22"/>
    <n v="420"/>
    <n v="6029563"/>
    <n v="34"/>
    <n v="11"/>
    <n v="235"/>
    <n v="2213570"/>
  </r>
  <r>
    <x v="80"/>
    <s v="FATOKE ADEWALE OMOTAYO"/>
    <s v="Augustine Idoko"/>
    <s v="YOBE"/>
    <n v="89"/>
    <n v="16"/>
    <n v="2112"/>
    <n v="30126008"/>
    <n v="24"/>
    <n v="11"/>
    <n v="1273"/>
    <n v="14709100"/>
  </r>
  <r>
    <x v="81"/>
    <s v="OBA FRIDAY"/>
    <s v="Ozioko Nkem"/>
    <s v="YOBE"/>
    <n v="319"/>
    <n v="68"/>
    <n v="5170"/>
    <n v="68711030"/>
    <n v="80"/>
    <n v="37"/>
    <n v="1603"/>
    <n v="14369133"/>
  </r>
  <r>
    <x v="82"/>
    <s v="OBA FRIDAY"/>
    <s v="Ozioko Nkem"/>
    <s v="YOBE"/>
    <n v="10"/>
    <n v="3"/>
    <n v="107"/>
    <n v="1530650"/>
    <n v="4"/>
    <n v="1"/>
    <n v="105"/>
    <n v="707550"/>
  </r>
  <r>
    <x v="83"/>
    <s v="SAMUEL OLAWALE BODUNDE"/>
    <s v="Ozioko Nkem"/>
    <s v="YOBE"/>
    <n v="713"/>
    <n v="229"/>
    <n v="35069"/>
    <n v="401811823"/>
    <n v="304"/>
    <n v="156"/>
    <n v="20425"/>
    <n v="193446880"/>
  </r>
  <r>
    <x v="84"/>
    <s v="AYORINDE OMOWUMI"/>
    <s v="Augustine Idoko"/>
    <s v="YOBE"/>
    <n v="117"/>
    <n v="33"/>
    <n v="6711"/>
    <n v="67952515"/>
    <n v="67"/>
    <n v="36"/>
    <n v="4581"/>
    <n v="36244426"/>
  </r>
  <r>
    <x v="85"/>
    <s v="AYORINDE OMOWUMI"/>
    <s v="Augustine Idoko"/>
    <s v="YOBE"/>
    <n v="0"/>
    <n v="0"/>
    <n v="0"/>
    <n v="0"/>
    <n v="3"/>
    <n v="3"/>
    <n v="0"/>
    <n v="0"/>
  </r>
  <r>
    <x v="86"/>
    <s v="OLADIPO ADAMOLEKUN"/>
    <s v="Augustine Idoko"/>
    <s v="KANO"/>
    <n v="84"/>
    <n v="3"/>
    <n v="662"/>
    <n v="5606660"/>
    <n v="30"/>
    <n v="20"/>
    <n v="398"/>
    <n v="2783550"/>
  </r>
  <r>
    <x v="87"/>
    <s v="OLADIPO ADAMOLEKUN"/>
    <s v="Augustine Idoko"/>
    <s v="KANO"/>
    <n v="160"/>
    <n v="21"/>
    <n v="3052"/>
    <n v="41000053"/>
    <n v="35"/>
    <n v="24"/>
    <n v="2053"/>
    <n v="22537107"/>
  </r>
  <r>
    <x v="88"/>
    <s v="OBA FRIDAY"/>
    <s v="Ozioko Nkem"/>
    <s v="LAGOS"/>
    <n v="0"/>
    <n v="0"/>
    <n v="0"/>
    <n v="0"/>
    <n v="0"/>
    <n v="0"/>
    <n v="0"/>
    <n v="0"/>
  </r>
  <r>
    <x v="89"/>
    <s v="JEGEDE OLUWAKEMI VICTORIA"/>
    <s v="Augustine Idoko"/>
    <s v="FCT"/>
    <n v="299"/>
    <n v="52"/>
    <n v="3634"/>
    <n v="41229998"/>
    <n v="113"/>
    <n v="40"/>
    <n v="2293"/>
    <n v="18521997"/>
  </r>
  <r>
    <x v="90"/>
    <s v="JEGEDE OLUWAKEMI VICTORIA"/>
    <s v="Augustine Idoko"/>
    <s v="FCT"/>
    <n v="345"/>
    <n v="34"/>
    <n v="2557"/>
    <n v="24714178"/>
    <n v="71"/>
    <n v="29"/>
    <n v="1311"/>
    <n v="14622560"/>
  </r>
  <r>
    <x v="91"/>
    <s v="BASHAR YAKUB ABDULAZEEZ"/>
    <s v="Augustine Idoko"/>
    <s v="KEBBI"/>
    <n v="375"/>
    <n v="49"/>
    <n v="5352"/>
    <n v="93564623"/>
    <n v="98"/>
    <n v="45"/>
    <n v="3105"/>
    <n v="49449326"/>
  </r>
  <r>
    <x v="92"/>
    <s v="BASHAR YAKUB ABDULAZEEZ"/>
    <s v="Augustine Idoko"/>
    <s v="SOKOTO"/>
    <n v="99"/>
    <n v="18"/>
    <n v="1422"/>
    <n v="15334576"/>
    <n v="38"/>
    <n v="30"/>
    <n v="556"/>
    <n v="4982170"/>
  </r>
  <r>
    <x v="93"/>
    <s v="OYENIYI QUDUS"/>
    <s v="Ekerette George"/>
    <s v="OYO"/>
    <n v="0"/>
    <n v="0"/>
    <n v="0"/>
    <n v="0"/>
    <n v="9"/>
    <n v="8"/>
    <n v="0"/>
    <n v="0"/>
  </r>
  <r>
    <x v="94"/>
    <s v="Afeez Lawal"/>
    <s v="Ozioko Nkem"/>
    <s v="LAGOS"/>
    <n v="0"/>
    <n v="0"/>
    <n v="0"/>
    <n v="0"/>
    <n v="1"/>
    <n v="1"/>
    <n v="0"/>
    <n v="0"/>
  </r>
  <r>
    <x v="95"/>
    <s v="Afeez Lawal"/>
    <s v="Ozioko Nkem"/>
    <s v="LAGOS"/>
    <n v="0"/>
    <n v="0"/>
    <n v="0"/>
    <n v="0"/>
    <n v="3"/>
    <n v="2"/>
    <n v="0"/>
    <n v="0"/>
  </r>
  <r>
    <x v="96"/>
    <s v="Afeez Lawal"/>
    <s v="Ozioko Nkem"/>
    <s v="LAGOS"/>
    <n v="0"/>
    <n v="0"/>
    <n v="0"/>
    <n v="0"/>
    <n v="0"/>
    <n v="0"/>
    <n v="0"/>
    <n v="0"/>
  </r>
  <r>
    <x v="97"/>
    <s v="Afeez Lawal"/>
    <s v="Ozioko Nkem"/>
    <s v="LAGOS"/>
    <n v="0"/>
    <n v="0"/>
    <n v="0"/>
    <n v="0"/>
    <n v="4"/>
    <n v="4"/>
    <n v="0"/>
    <n v="0"/>
  </r>
  <r>
    <x v="98"/>
    <s v="Afeez Lawal"/>
    <s v="Ozioko Nkem"/>
    <s v="LAGOS"/>
    <n v="0"/>
    <n v="0"/>
    <n v="0"/>
    <n v="0"/>
    <n v="0"/>
    <n v="0"/>
    <n v="0"/>
    <n v="0"/>
  </r>
  <r>
    <x v="99"/>
    <s v="JEGEDE OLUWAKEMI VICTORIA"/>
    <s v="Augustine Idoko"/>
    <s v="FCT"/>
    <n v="0"/>
    <n v="0"/>
    <n v="0"/>
    <n v="0"/>
    <n v="3"/>
    <n v="1"/>
    <n v="0"/>
    <n v="0"/>
  </r>
  <r>
    <x v="100"/>
    <s v="OYENIYI QUDUS"/>
    <m/>
    <s v="OSUN"/>
    <n v="35"/>
    <n v="8"/>
    <n v="2132"/>
    <n v="26432091"/>
    <n v="15"/>
    <n v="14"/>
    <n v="1165"/>
    <n v="11561120"/>
  </r>
  <r>
    <x v="101"/>
    <s v="OYENIYI QUDUS"/>
    <m/>
    <s v="OSUN"/>
    <n v="0"/>
    <n v="0"/>
    <n v="0"/>
    <n v="0"/>
    <n v="4"/>
    <n v="4"/>
    <n v="0"/>
    <n v="0"/>
  </r>
  <r>
    <x v="102"/>
    <s v="OLADIPO ADAMOLEKUN"/>
    <s v="Augustine Idoko"/>
    <s v="KATSINA"/>
    <n v="119"/>
    <n v="18"/>
    <n v="2569"/>
    <n v="35501073"/>
    <n v="35"/>
    <n v="22"/>
    <n v="1831"/>
    <n v="17160680"/>
  </r>
  <r>
    <x v="103"/>
    <s v="JEGEDE OLUWAKEMI VICTORIA"/>
    <s v="Augustine Idoko"/>
    <s v="FCT"/>
    <n v="0"/>
    <n v="0"/>
    <n v="0"/>
    <n v="0"/>
    <n v="7"/>
    <n v="6"/>
    <n v="0"/>
    <n v="0"/>
  </r>
  <r>
    <x v="104"/>
    <s v="ADESHINA SHERIFF ADELEKE"/>
    <s v="Augustine Idoko"/>
    <s v="KWARA"/>
    <n v="345"/>
    <n v="76"/>
    <n v="5155"/>
    <n v="51008355"/>
    <n v="105"/>
    <n v="42"/>
    <n v="3118"/>
    <n v="23103906"/>
  </r>
  <r>
    <x v="105"/>
    <s v="BASHAR YAKUB ABDULAZEEZ"/>
    <s v="Augustine Idoko"/>
    <s v="ZAMFARA"/>
    <n v="92"/>
    <n v="10"/>
    <n v="136"/>
    <n v="2482493"/>
    <n v="19"/>
    <n v="8"/>
    <n v="44"/>
    <n v="931575"/>
  </r>
  <r>
    <x v="106"/>
    <s v="OYENIYI QUDUS"/>
    <m/>
    <s v="ONDO"/>
    <n v="365"/>
    <n v="71"/>
    <n v="3356"/>
    <n v="44463630"/>
    <n v="84"/>
    <n v="41"/>
    <n v="1795"/>
    <n v="20942467"/>
  </r>
  <r>
    <x v="107"/>
    <s v="Afeez Lawal"/>
    <m/>
    <s v="LAGOS"/>
    <n v="0"/>
    <n v="0"/>
    <n v="0"/>
    <n v="0"/>
    <n v="0"/>
    <n v="0"/>
    <n v="0"/>
    <n v="0"/>
  </r>
  <r>
    <x v="108"/>
    <s v="JEGEDE OLUWAKEMI VICTORIA"/>
    <m/>
    <s v="FCT"/>
    <n v="0"/>
    <n v="0"/>
    <n v="0"/>
    <n v="0"/>
    <n v="6"/>
    <n v="6"/>
    <n v="0"/>
    <n v="0"/>
  </r>
  <r>
    <x v="109"/>
    <s v="JEGEDE OLUWAKEMI VICTORIA"/>
    <m/>
    <s v="FCT"/>
    <n v="0"/>
    <n v="0"/>
    <n v="0"/>
    <n v="0"/>
    <n v="2"/>
    <n v="2"/>
    <n v="0"/>
    <n v="0"/>
  </r>
  <r>
    <x v="110"/>
    <s v="Afeez Lawal"/>
    <s v="Ozioko Nkem"/>
    <s v="LAGOS"/>
    <n v="0"/>
    <n v="0"/>
    <n v="0"/>
    <n v="0"/>
    <n v="0"/>
    <n v="0"/>
    <n v="0"/>
    <n v="0"/>
  </r>
  <r>
    <x v="111"/>
    <s v="Afeez Lawal"/>
    <s v="Ozioko Nkem"/>
    <s v="LAGOS"/>
    <n v="0"/>
    <n v="0"/>
    <n v="0"/>
    <n v="0"/>
    <n v="0"/>
    <n v="0"/>
    <n v="0"/>
    <n v="0"/>
  </r>
  <r>
    <x v="112"/>
    <s v="OYENIYI QUDUS"/>
    <m/>
    <s v="EKITI"/>
    <n v="313"/>
    <n v="56"/>
    <n v="6898"/>
    <n v="78196204"/>
    <n v="86"/>
    <n v="50"/>
    <n v="5056"/>
    <n v="36281105"/>
  </r>
  <r>
    <x v="113"/>
    <s v="Afeez Lawal"/>
    <s v="Ozioko Nkem"/>
    <s v="LAGOS"/>
    <n v="0"/>
    <n v="0"/>
    <n v="0"/>
    <n v="0"/>
    <n v="0"/>
    <n v="0"/>
    <n v="0"/>
    <n v="0"/>
  </r>
  <r>
    <x v="114"/>
    <s v="Afeez Lawal"/>
    <s v="Ozioko Nkem"/>
    <s v="LAGOS"/>
    <n v="0"/>
    <n v="0"/>
    <n v="0"/>
    <n v="0"/>
    <n v="0"/>
    <n v="0"/>
    <n v="0"/>
    <n v="0"/>
  </r>
  <r>
    <x v="115"/>
    <s v="Afeez Lawal"/>
    <s v="Ozioko Nkem"/>
    <s v="LAGOS"/>
    <n v="0"/>
    <n v="0"/>
    <n v="0"/>
    <n v="0"/>
    <n v="0"/>
    <n v="0"/>
    <n v="0"/>
    <n v="0"/>
  </r>
  <r>
    <x v="116"/>
    <s v="OYENIYI QUDUS"/>
    <m/>
    <s v="OGUN"/>
    <n v="349"/>
    <n v="64"/>
    <n v="7427"/>
    <n v="205134344"/>
    <n v="87"/>
    <n v="48"/>
    <n v="4833"/>
    <n v="137062577"/>
  </r>
  <r>
    <x v="117"/>
    <s v="BASHAR YAKUB ABDULAZEEZ"/>
    <m/>
    <s v="OYO"/>
    <n v="388"/>
    <n v="46"/>
    <n v="3276"/>
    <n v="50686787"/>
    <n v="36"/>
    <n v="22"/>
    <n v="1646"/>
    <n v="22007695"/>
  </r>
  <r>
    <x v="118"/>
    <s v="OYENIYI QUDUS"/>
    <m/>
    <s v="OYO"/>
    <n v="480"/>
    <n v="77"/>
    <n v="5374"/>
    <n v="55066133"/>
    <n v="53"/>
    <n v="33"/>
    <n v="2056"/>
    <n v="16554614"/>
  </r>
  <r>
    <x v="119"/>
    <s v="BASHAR YAKUB ABDULAZEEZ"/>
    <m/>
    <s v="OYO"/>
    <n v="505"/>
    <n v="63"/>
    <n v="5727"/>
    <n v="44184016"/>
    <n v="58"/>
    <n v="25"/>
    <n v="2444"/>
    <n v="185128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0027A36-C2DD-475F-A19A-3B0EAAB2F0FD}" name="PivotTable7"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2">
  <location ref="K3:M21" firstHeaderRow="0" firstDataRow="1" firstDataCol="1"/>
  <pivotFields count="12">
    <pivotField showAll="0"/>
    <pivotField axis="axisRow" showAll="0" sortType="descending">
      <items count="18">
        <item x="6"/>
        <item x="7"/>
        <item x="16"/>
        <item x="11"/>
        <item x="4"/>
        <item x="9"/>
        <item x="13"/>
        <item x="12"/>
        <item x="15"/>
        <item x="3"/>
        <item x="10"/>
        <item x="5"/>
        <item x="0"/>
        <item x="8"/>
        <item x="2"/>
        <item x="1"/>
        <item x="14"/>
        <item t="default"/>
      </items>
      <autoSortScope>
        <pivotArea dataOnly="0" outline="0" fieldPosition="0">
          <references count="1">
            <reference field="4294967294" count="1" selected="0">
              <x v="0"/>
            </reference>
          </references>
        </pivotArea>
      </autoSortScope>
    </pivotField>
    <pivotField showAll="0">
      <items count="7">
        <item x="2"/>
        <item x="1"/>
        <item x="3"/>
        <item x="4"/>
        <item x="0"/>
        <item x="5"/>
        <item t="default"/>
      </items>
    </pivotField>
    <pivotField showAll="0">
      <items count="34">
        <item x="29"/>
        <item x="22"/>
        <item x="28"/>
        <item x="8"/>
        <item x="30"/>
        <item x="23"/>
        <item x="24"/>
        <item x="21"/>
        <item x="5"/>
        <item x="26"/>
        <item x="6"/>
        <item x="27"/>
        <item x="25"/>
        <item x="17"/>
        <item x="12"/>
        <item x="15"/>
        <item x="16"/>
        <item x="18"/>
        <item x="9"/>
        <item x="14"/>
        <item x="0"/>
        <item x="7"/>
        <item x="13"/>
        <item x="2"/>
        <item x="4"/>
        <item x="3"/>
        <item x="1"/>
        <item x="10"/>
        <item x="20"/>
        <item x="19"/>
        <item x="11"/>
        <item x="31"/>
        <item x="32"/>
        <item t="default"/>
      </items>
    </pivotField>
    <pivotField numFmtId="1" showAll="0"/>
    <pivotField numFmtId="1" showAll="0"/>
    <pivotField showAll="0"/>
    <pivotField numFmtId="44" showAll="0"/>
    <pivotField dataField="1" numFmtId="1" showAll="0"/>
    <pivotField dataField="1" numFmtId="1" showAll="0"/>
    <pivotField numFmtId="1" showAll="0"/>
    <pivotField numFmtId="44" showAll="0"/>
  </pivotFields>
  <rowFields count="1">
    <field x="1"/>
  </rowFields>
  <rowItems count="18">
    <i>
      <x v="12"/>
    </i>
    <i>
      <x v="10"/>
    </i>
    <i>
      <x v="14"/>
    </i>
    <i>
      <x v="9"/>
    </i>
    <i>
      <x v="15"/>
    </i>
    <i>
      <x v="7"/>
    </i>
    <i>
      <x v="13"/>
    </i>
    <i>
      <x v="1"/>
    </i>
    <i>
      <x v="4"/>
    </i>
    <i>
      <x v="5"/>
    </i>
    <i>
      <x v="3"/>
    </i>
    <i>
      <x v="6"/>
    </i>
    <i>
      <x v="8"/>
    </i>
    <i>
      <x/>
    </i>
    <i>
      <x v="11"/>
    </i>
    <i>
      <x v="16"/>
    </i>
    <i>
      <x v="2"/>
    </i>
    <i t="grand">
      <x/>
    </i>
  </rowItems>
  <colFields count="1">
    <field x="-2"/>
  </colFields>
  <colItems count="2">
    <i>
      <x/>
    </i>
    <i i="1">
      <x v="1"/>
    </i>
  </colItems>
  <dataFields count="2">
    <dataField name="Sum of Number of POS" fld="8" baseField="0" baseItem="0"/>
    <dataField name="Sum of Active POS" fld="9" baseField="0" baseItem="0"/>
  </dataFields>
  <chartFormats count="2">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EBC0548-BB9D-4E31-9D4D-98B655145440}" name="PivotTable8"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6">
  <location ref="N3:O21" firstHeaderRow="1" firstDataRow="1" firstDataCol="1"/>
  <pivotFields count="12">
    <pivotField showAll="0"/>
    <pivotField axis="axisRow" showAll="0" sortType="descending">
      <items count="18">
        <item x="6"/>
        <item x="7"/>
        <item x="16"/>
        <item x="11"/>
        <item x="4"/>
        <item x="9"/>
        <item x="13"/>
        <item x="12"/>
        <item x="15"/>
        <item x="3"/>
        <item x="10"/>
        <item x="5"/>
        <item x="0"/>
        <item x="8"/>
        <item x="2"/>
        <item x="1"/>
        <item x="14"/>
        <item t="default"/>
      </items>
      <autoSortScope>
        <pivotArea dataOnly="0" outline="0" fieldPosition="0">
          <references count="1">
            <reference field="4294967294" count="1" selected="0">
              <x v="0"/>
            </reference>
          </references>
        </pivotArea>
      </autoSortScope>
    </pivotField>
    <pivotField showAll="0">
      <items count="7">
        <item x="2"/>
        <item x="1"/>
        <item x="3"/>
        <item x="4"/>
        <item x="0"/>
        <item x="5"/>
        <item t="default"/>
      </items>
    </pivotField>
    <pivotField showAll="0">
      <items count="34">
        <item x="29"/>
        <item x="22"/>
        <item x="28"/>
        <item x="8"/>
        <item x="30"/>
        <item x="23"/>
        <item x="24"/>
        <item x="21"/>
        <item x="5"/>
        <item x="26"/>
        <item x="6"/>
        <item x="27"/>
        <item x="25"/>
        <item x="17"/>
        <item x="12"/>
        <item x="15"/>
        <item x="16"/>
        <item x="18"/>
        <item x="9"/>
        <item x="14"/>
        <item x="0"/>
        <item x="7"/>
        <item x="13"/>
        <item x="2"/>
        <item x="4"/>
        <item x="3"/>
        <item x="1"/>
        <item x="10"/>
        <item x="20"/>
        <item x="19"/>
        <item x="11"/>
        <item x="31"/>
        <item x="32"/>
        <item t="default"/>
      </items>
    </pivotField>
    <pivotField numFmtId="1" showAll="0"/>
    <pivotField numFmtId="1" showAll="0"/>
    <pivotField showAll="0"/>
    <pivotField numFmtId="44" showAll="0"/>
    <pivotField numFmtId="1" showAll="0"/>
    <pivotField numFmtId="1" showAll="0"/>
    <pivotField dataField="1" numFmtId="1" showAll="0"/>
    <pivotField numFmtId="44" showAll="0"/>
  </pivotFields>
  <rowFields count="1">
    <field x="1"/>
  </rowFields>
  <rowItems count="18">
    <i>
      <x v="10"/>
    </i>
    <i>
      <x v="14"/>
    </i>
    <i>
      <x v="15"/>
    </i>
    <i>
      <x v="12"/>
    </i>
    <i>
      <x v="13"/>
    </i>
    <i>
      <x v="7"/>
    </i>
    <i>
      <x v="3"/>
    </i>
    <i>
      <x v="9"/>
    </i>
    <i>
      <x v="4"/>
    </i>
    <i>
      <x v="1"/>
    </i>
    <i>
      <x v="5"/>
    </i>
    <i>
      <x v="6"/>
    </i>
    <i>
      <x v="8"/>
    </i>
    <i>
      <x/>
    </i>
    <i>
      <x v="11"/>
    </i>
    <i>
      <x v="16"/>
    </i>
    <i>
      <x v="2"/>
    </i>
    <i t="grand">
      <x/>
    </i>
  </rowItems>
  <colItems count="1">
    <i/>
  </colItems>
  <dataFields count="1">
    <dataField name="Sum of POS transaction count" fld="10" baseField="0" baseItem="0"/>
  </dataFields>
  <chartFormats count="1">
    <chartFormat chart="2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DB36148-B71C-4C0A-BA9F-376008A5504C}" name="PivotTable10"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S3:U21" firstHeaderRow="0" firstDataRow="1" firstDataCol="1"/>
  <pivotFields count="12">
    <pivotField showAll="0"/>
    <pivotField axis="axisRow" showAll="0" sortType="descending">
      <items count="18">
        <item x="6"/>
        <item x="7"/>
        <item x="16"/>
        <item x="11"/>
        <item x="4"/>
        <item x="9"/>
        <item x="13"/>
        <item x="12"/>
        <item x="15"/>
        <item x="3"/>
        <item x="10"/>
        <item x="5"/>
        <item x="0"/>
        <item x="8"/>
        <item x="2"/>
        <item x="1"/>
        <item x="14"/>
        <item t="default"/>
      </items>
      <autoSortScope>
        <pivotArea dataOnly="0" outline="0" fieldPosition="0">
          <references count="1">
            <reference field="4294967294" count="1" selected="0">
              <x v="0"/>
            </reference>
          </references>
        </pivotArea>
      </autoSortScope>
    </pivotField>
    <pivotField showAll="0">
      <items count="7">
        <item x="2"/>
        <item x="1"/>
        <item x="3"/>
        <item x="4"/>
        <item x="0"/>
        <item x="5"/>
        <item t="default"/>
      </items>
    </pivotField>
    <pivotField showAll="0">
      <items count="34">
        <item x="29"/>
        <item x="22"/>
        <item x="28"/>
        <item x="8"/>
        <item x="30"/>
        <item x="23"/>
        <item x="24"/>
        <item x="21"/>
        <item x="5"/>
        <item x="26"/>
        <item x="6"/>
        <item x="27"/>
        <item x="25"/>
        <item x="17"/>
        <item x="12"/>
        <item x="15"/>
        <item x="16"/>
        <item x="18"/>
        <item x="9"/>
        <item x="14"/>
        <item x="0"/>
        <item x="7"/>
        <item x="13"/>
        <item x="2"/>
        <item x="4"/>
        <item x="3"/>
        <item x="1"/>
        <item x="10"/>
        <item x="20"/>
        <item x="19"/>
        <item x="11"/>
        <item x="31"/>
        <item x="32"/>
        <item t="default"/>
      </items>
    </pivotField>
    <pivotField dataField="1" numFmtId="1" showAll="0"/>
    <pivotField dataField="1" numFmtId="1" showAll="0"/>
    <pivotField showAll="0"/>
    <pivotField numFmtId="44" showAll="0"/>
    <pivotField numFmtId="1" showAll="0"/>
    <pivotField numFmtId="1" showAll="0"/>
    <pivotField numFmtId="1" showAll="0"/>
    <pivotField numFmtId="44" showAll="0"/>
  </pivotFields>
  <rowFields count="1">
    <field x="1"/>
  </rowFields>
  <rowItems count="18">
    <i>
      <x v="14"/>
    </i>
    <i>
      <x v="12"/>
    </i>
    <i>
      <x v="9"/>
    </i>
    <i>
      <x v="10"/>
    </i>
    <i>
      <x v="7"/>
    </i>
    <i>
      <x v="13"/>
    </i>
    <i>
      <x v="15"/>
    </i>
    <i>
      <x v="5"/>
    </i>
    <i>
      <x v="4"/>
    </i>
    <i>
      <x v="1"/>
    </i>
    <i>
      <x v="11"/>
    </i>
    <i>
      <x v="6"/>
    </i>
    <i>
      <x v="3"/>
    </i>
    <i>
      <x v="8"/>
    </i>
    <i>
      <x/>
    </i>
    <i>
      <x v="16"/>
    </i>
    <i>
      <x v="2"/>
    </i>
    <i t="grand">
      <x/>
    </i>
  </rowItems>
  <colFields count="1">
    <field x="-2"/>
  </colFields>
  <colItems count="2">
    <i>
      <x/>
    </i>
    <i i="1">
      <x v="1"/>
    </i>
  </colItems>
  <dataFields count="2">
    <dataField name="Sum of Agents + Merchants" fld="4" baseField="0" baseItem="0"/>
    <dataField name="Sum of Active" fld="5" baseField="0" baseItem="0"/>
  </dataFields>
  <chartFormats count="2">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A725CBC-98F0-4DAF-8251-CCF7D877A8E9}" name="PivotTable6"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H3:I21" firstHeaderRow="1" firstDataRow="1" firstDataCol="1"/>
  <pivotFields count="12">
    <pivotField showAll="0"/>
    <pivotField axis="axisRow" showAll="0" sortType="ascending">
      <items count="18">
        <item x="6"/>
        <item x="7"/>
        <item x="16"/>
        <item x="11"/>
        <item x="4"/>
        <item x="9"/>
        <item x="13"/>
        <item x="12"/>
        <item x="15"/>
        <item x="3"/>
        <item x="10"/>
        <item x="5"/>
        <item x="0"/>
        <item x="8"/>
        <item x="2"/>
        <item x="1"/>
        <item x="14"/>
        <item t="default"/>
      </items>
      <autoSortScope>
        <pivotArea dataOnly="0" outline="0" fieldPosition="0">
          <references count="1">
            <reference field="4294967294" count="1" selected="0">
              <x v="0"/>
            </reference>
          </references>
        </pivotArea>
      </autoSortScope>
    </pivotField>
    <pivotField showAll="0">
      <items count="7">
        <item x="2"/>
        <item x="1"/>
        <item x="3"/>
        <item x="4"/>
        <item x="0"/>
        <item x="5"/>
        <item t="default"/>
      </items>
    </pivotField>
    <pivotField showAll="0">
      <items count="34">
        <item x="29"/>
        <item x="22"/>
        <item x="28"/>
        <item x="8"/>
        <item x="30"/>
        <item x="23"/>
        <item x="24"/>
        <item x="21"/>
        <item x="5"/>
        <item x="26"/>
        <item x="6"/>
        <item x="27"/>
        <item x="25"/>
        <item x="17"/>
        <item x="12"/>
        <item x="15"/>
        <item x="16"/>
        <item x="18"/>
        <item x="9"/>
        <item x="14"/>
        <item x="0"/>
        <item x="7"/>
        <item x="13"/>
        <item x="2"/>
        <item x="4"/>
        <item x="3"/>
        <item x="1"/>
        <item x="10"/>
        <item x="20"/>
        <item x="19"/>
        <item x="11"/>
        <item x="31"/>
        <item x="32"/>
        <item t="default"/>
      </items>
    </pivotField>
    <pivotField numFmtId="1" showAll="0"/>
    <pivotField numFmtId="1" showAll="0"/>
    <pivotField showAll="0"/>
    <pivotField dataField="1" numFmtId="44" showAll="0"/>
    <pivotField numFmtId="1" showAll="0"/>
    <pivotField numFmtId="1" showAll="0"/>
    <pivotField numFmtId="1" showAll="0"/>
    <pivotField numFmtId="44" showAll="0"/>
  </pivotFields>
  <rowFields count="1">
    <field x="1"/>
  </rowFields>
  <rowItems count="18">
    <i>
      <x v="2"/>
    </i>
    <i>
      <x v="16"/>
    </i>
    <i>
      <x v="11"/>
    </i>
    <i>
      <x/>
    </i>
    <i>
      <x v="8"/>
    </i>
    <i>
      <x v="6"/>
    </i>
    <i>
      <x v="1"/>
    </i>
    <i>
      <x v="5"/>
    </i>
    <i>
      <x v="4"/>
    </i>
    <i>
      <x v="3"/>
    </i>
    <i>
      <x v="9"/>
    </i>
    <i>
      <x v="13"/>
    </i>
    <i>
      <x v="7"/>
    </i>
    <i>
      <x v="12"/>
    </i>
    <i>
      <x v="15"/>
    </i>
    <i>
      <x v="14"/>
    </i>
    <i>
      <x v="10"/>
    </i>
    <i t="grand">
      <x/>
    </i>
  </rowItems>
  <colItems count="1">
    <i/>
  </colItems>
  <dataFields count="1">
    <dataField name="Sum of Transaction value" fld="7" baseField="0" baseItem="0" numFmtId="164"/>
  </dataFields>
  <formats count="2">
    <format dxfId="9">
      <pivotArea outline="0" collapsedLevelsAreSubtotals="1" fieldPosition="0"/>
    </format>
    <format dxfId="8">
      <pivotArea dataOnly="0" labelOnly="1" outline="0" axis="axisValues" fieldPosition="0"/>
    </format>
  </formats>
  <chartFormats count="1">
    <chartFormat chart="1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B266B67-BB0E-483E-83E0-98DCABCC051B}" name="PivotTable2"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3:C21" firstHeaderRow="0" firstDataRow="1" firstDataCol="1"/>
  <pivotFields count="12">
    <pivotField showAll="0"/>
    <pivotField axis="axisRow" showAll="0" sortType="descending">
      <items count="18">
        <item x="6"/>
        <item x="7"/>
        <item x="16"/>
        <item x="11"/>
        <item x="4"/>
        <item x="9"/>
        <item x="13"/>
        <item x="12"/>
        <item x="15"/>
        <item x="3"/>
        <item x="10"/>
        <item x="5"/>
        <item x="0"/>
        <item x="8"/>
        <item x="2"/>
        <item x="1"/>
        <item x="14"/>
        <item t="default"/>
      </items>
      <autoSortScope>
        <pivotArea dataOnly="0" outline="0" fieldPosition="0">
          <references count="1">
            <reference field="4294967294" count="1" selected="0">
              <x v="0"/>
            </reference>
          </references>
        </pivotArea>
      </autoSortScope>
    </pivotField>
    <pivotField showAll="0">
      <items count="7">
        <item x="2"/>
        <item x="1"/>
        <item x="3"/>
        <item x="4"/>
        <item x="0"/>
        <item x="5"/>
        <item t="default"/>
      </items>
    </pivotField>
    <pivotField showAll="0">
      <items count="34">
        <item x="29"/>
        <item x="22"/>
        <item x="28"/>
        <item x="8"/>
        <item x="30"/>
        <item x="23"/>
        <item x="24"/>
        <item x="21"/>
        <item x="5"/>
        <item x="26"/>
        <item x="6"/>
        <item x="27"/>
        <item x="25"/>
        <item x="17"/>
        <item x="12"/>
        <item x="15"/>
        <item x="16"/>
        <item x="18"/>
        <item x="9"/>
        <item x="14"/>
        <item x="0"/>
        <item x="7"/>
        <item x="13"/>
        <item x="2"/>
        <item x="4"/>
        <item x="3"/>
        <item x="1"/>
        <item x="10"/>
        <item x="20"/>
        <item x="19"/>
        <item x="11"/>
        <item x="31"/>
        <item x="32"/>
        <item t="default"/>
      </items>
    </pivotField>
    <pivotField dataField="1" numFmtId="1" showAll="0"/>
    <pivotField dataField="1" numFmtId="1" showAll="0"/>
    <pivotField showAll="0"/>
    <pivotField numFmtId="44" showAll="0"/>
    <pivotField numFmtId="1" showAll="0"/>
    <pivotField numFmtId="1" showAll="0"/>
    <pivotField numFmtId="1" showAll="0"/>
    <pivotField numFmtId="44" showAll="0"/>
  </pivotFields>
  <rowFields count="1">
    <field x="1"/>
  </rowFields>
  <rowItems count="18">
    <i>
      <x v="14"/>
    </i>
    <i>
      <x v="12"/>
    </i>
    <i>
      <x v="9"/>
    </i>
    <i>
      <x v="10"/>
    </i>
    <i>
      <x v="7"/>
    </i>
    <i>
      <x v="13"/>
    </i>
    <i>
      <x v="15"/>
    </i>
    <i>
      <x v="5"/>
    </i>
    <i>
      <x v="4"/>
    </i>
    <i>
      <x v="1"/>
    </i>
    <i>
      <x v="11"/>
    </i>
    <i>
      <x v="6"/>
    </i>
    <i>
      <x v="3"/>
    </i>
    <i>
      <x v="8"/>
    </i>
    <i>
      <x/>
    </i>
    <i>
      <x v="16"/>
    </i>
    <i>
      <x v="2"/>
    </i>
    <i t="grand">
      <x/>
    </i>
  </rowItems>
  <colFields count="1">
    <field x="-2"/>
  </colFields>
  <colItems count="2">
    <i>
      <x/>
    </i>
    <i i="1">
      <x v="1"/>
    </i>
  </colItems>
  <dataFields count="2">
    <dataField name="Sum of Agents + Merchants" fld="4" baseField="0" baseItem="0"/>
    <dataField name="Sum of Active" fld="5" baseField="0" baseItem="0"/>
  </dataFields>
  <chartFormats count="2">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7456010-544C-42F8-AC99-D51FF79E448E}" name="PivotTable3"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E3:F21" firstHeaderRow="1" firstDataRow="1" firstDataCol="1"/>
  <pivotFields count="12">
    <pivotField showAll="0"/>
    <pivotField axis="axisRow" showAll="0" sortType="ascending">
      <items count="18">
        <item x="6"/>
        <item x="7"/>
        <item x="16"/>
        <item x="11"/>
        <item x="4"/>
        <item x="9"/>
        <item x="13"/>
        <item x="12"/>
        <item x="15"/>
        <item x="3"/>
        <item x="10"/>
        <item x="5"/>
        <item x="0"/>
        <item x="8"/>
        <item x="2"/>
        <item x="1"/>
        <item x="14"/>
        <item t="default"/>
      </items>
      <autoSortScope>
        <pivotArea dataOnly="0" outline="0" fieldPosition="0">
          <references count="1">
            <reference field="4294967294" count="1" selected="0">
              <x v="0"/>
            </reference>
          </references>
        </pivotArea>
      </autoSortScope>
    </pivotField>
    <pivotField showAll="0">
      <items count="7">
        <item x="2"/>
        <item x="1"/>
        <item x="3"/>
        <item x="4"/>
        <item x="0"/>
        <item x="5"/>
        <item t="default"/>
      </items>
    </pivotField>
    <pivotField showAll="0">
      <items count="34">
        <item x="29"/>
        <item x="22"/>
        <item x="28"/>
        <item x="8"/>
        <item x="30"/>
        <item x="23"/>
        <item x="24"/>
        <item x="21"/>
        <item x="5"/>
        <item x="26"/>
        <item x="6"/>
        <item x="27"/>
        <item x="25"/>
        <item x="17"/>
        <item x="12"/>
        <item x="15"/>
        <item x="16"/>
        <item x="18"/>
        <item x="9"/>
        <item x="14"/>
        <item x="0"/>
        <item x="7"/>
        <item x="13"/>
        <item x="2"/>
        <item x="4"/>
        <item x="3"/>
        <item x="1"/>
        <item x="10"/>
        <item x="20"/>
        <item x="19"/>
        <item x="11"/>
        <item x="31"/>
        <item x="32"/>
        <item t="default"/>
      </items>
    </pivotField>
    <pivotField numFmtId="1" showAll="0"/>
    <pivotField numFmtId="1" showAll="0"/>
    <pivotField dataField="1" showAll="0"/>
    <pivotField numFmtId="44" showAll="0"/>
    <pivotField numFmtId="1" showAll="0"/>
    <pivotField numFmtId="1" showAll="0"/>
    <pivotField numFmtId="1" showAll="0"/>
    <pivotField numFmtId="44" showAll="0"/>
  </pivotFields>
  <rowFields count="1">
    <field x="1"/>
  </rowFields>
  <rowItems count="18">
    <i>
      <x v="2"/>
    </i>
    <i>
      <x v="16"/>
    </i>
    <i>
      <x v="11"/>
    </i>
    <i>
      <x/>
    </i>
    <i>
      <x v="8"/>
    </i>
    <i>
      <x v="6"/>
    </i>
    <i>
      <x v="1"/>
    </i>
    <i>
      <x v="4"/>
    </i>
    <i>
      <x v="5"/>
    </i>
    <i>
      <x v="3"/>
    </i>
    <i>
      <x v="9"/>
    </i>
    <i>
      <x v="13"/>
    </i>
    <i>
      <x v="7"/>
    </i>
    <i>
      <x v="12"/>
    </i>
    <i>
      <x v="14"/>
    </i>
    <i>
      <x v="15"/>
    </i>
    <i>
      <x v="10"/>
    </i>
    <i t="grand">
      <x/>
    </i>
  </rowItems>
  <colItems count="1">
    <i/>
  </colItems>
  <dataFields count="1">
    <dataField name="Sum of Transaction Count" fld="6" baseField="0" baseItem="0"/>
  </dataFields>
  <chartFormats count="1">
    <chartFormat chart="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A858C48D-434E-4AA0-A9A9-965C0B961079}" name="PivotTable9"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0">
  <location ref="P3:Q21" firstHeaderRow="1" firstDataRow="1" firstDataCol="1"/>
  <pivotFields count="12">
    <pivotField showAll="0"/>
    <pivotField axis="axisRow" showAll="0" sortType="ascending">
      <items count="18">
        <item x="6"/>
        <item x="7"/>
        <item x="16"/>
        <item x="11"/>
        <item x="4"/>
        <item x="9"/>
        <item x="13"/>
        <item x="12"/>
        <item x="15"/>
        <item x="3"/>
        <item x="10"/>
        <item x="5"/>
        <item x="0"/>
        <item x="8"/>
        <item x="2"/>
        <item x="1"/>
        <item x="14"/>
        <item t="default"/>
      </items>
      <autoSortScope>
        <pivotArea dataOnly="0" outline="0" fieldPosition="0">
          <references count="1">
            <reference field="4294967294" count="1" selected="0">
              <x v="0"/>
            </reference>
          </references>
        </pivotArea>
      </autoSortScope>
    </pivotField>
    <pivotField showAll="0">
      <items count="7">
        <item x="2"/>
        <item x="1"/>
        <item x="3"/>
        <item x="4"/>
        <item x="0"/>
        <item x="5"/>
        <item t="default"/>
      </items>
    </pivotField>
    <pivotField showAll="0">
      <items count="34">
        <item x="29"/>
        <item x="22"/>
        <item x="28"/>
        <item x="8"/>
        <item x="30"/>
        <item x="23"/>
        <item x="24"/>
        <item x="21"/>
        <item x="5"/>
        <item x="26"/>
        <item x="6"/>
        <item x="27"/>
        <item x="25"/>
        <item x="17"/>
        <item x="12"/>
        <item x="15"/>
        <item x="16"/>
        <item x="18"/>
        <item x="9"/>
        <item x="14"/>
        <item x="0"/>
        <item x="7"/>
        <item x="13"/>
        <item x="2"/>
        <item x="4"/>
        <item x="3"/>
        <item x="1"/>
        <item x="10"/>
        <item x="20"/>
        <item x="19"/>
        <item x="11"/>
        <item x="31"/>
        <item x="32"/>
        <item t="default"/>
      </items>
    </pivotField>
    <pivotField numFmtId="1" showAll="0"/>
    <pivotField numFmtId="1" showAll="0"/>
    <pivotField showAll="0"/>
    <pivotField numFmtId="44" showAll="0"/>
    <pivotField numFmtId="1" showAll="0"/>
    <pivotField numFmtId="1" showAll="0"/>
    <pivotField numFmtId="1" showAll="0"/>
    <pivotField dataField="1" numFmtId="44" showAll="0"/>
  </pivotFields>
  <rowFields count="1">
    <field x="1"/>
  </rowFields>
  <rowItems count="18">
    <i>
      <x v="2"/>
    </i>
    <i>
      <x v="16"/>
    </i>
    <i>
      <x v="11"/>
    </i>
    <i>
      <x/>
    </i>
    <i>
      <x v="8"/>
    </i>
    <i>
      <x v="6"/>
    </i>
    <i>
      <x v="1"/>
    </i>
    <i>
      <x v="5"/>
    </i>
    <i>
      <x v="4"/>
    </i>
    <i>
      <x v="3"/>
    </i>
    <i>
      <x v="9"/>
    </i>
    <i>
      <x v="7"/>
    </i>
    <i>
      <x v="12"/>
    </i>
    <i>
      <x v="13"/>
    </i>
    <i>
      <x v="15"/>
    </i>
    <i>
      <x v="14"/>
    </i>
    <i>
      <x v="10"/>
    </i>
    <i t="grand">
      <x/>
    </i>
  </rowItems>
  <colItems count="1">
    <i/>
  </colItems>
  <dataFields count="1">
    <dataField name="Sum of POS transaction value" fld="11" baseField="0" baseItem="0"/>
  </dataFields>
  <chartFormats count="1">
    <chartFormat chart="29"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6CAED128-83BF-4021-909D-FB9A41430DDC}" name="PivotTable13"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Y3:AA20" firstHeaderRow="1" firstDataRow="1" firstDataCol="0"/>
  <pivotFields count="12">
    <pivotField showAll="0">
      <items count="121">
        <item x="3"/>
        <item h="1" x="40"/>
        <item h="1" x="47"/>
        <item h="1" x="90"/>
        <item h="1" x="107"/>
        <item h="1" x="38"/>
        <item h="1" x="85"/>
        <item h="1" x="0"/>
        <item h="1" x="12"/>
        <item h="1" x="10"/>
        <item x="13"/>
        <item x="21"/>
        <item x="32"/>
        <item x="72"/>
        <item h="1" x="46"/>
        <item x="44"/>
        <item x="39"/>
        <item x="93"/>
        <item x="2"/>
        <item h="1" x="119"/>
        <item h="1" x="117"/>
        <item x="1"/>
        <item h="1" x="63"/>
        <item h="1" x="15"/>
        <item h="1" x="108"/>
        <item h="1" x="35"/>
        <item h="1" x="27"/>
        <item h="1" x="71"/>
        <item h="1" x="78"/>
        <item x="82"/>
        <item x="103"/>
        <item x="18"/>
        <item x="111"/>
        <item x="105"/>
        <item x="118"/>
        <item x="20"/>
        <item x="114"/>
        <item x="110"/>
        <item x="88"/>
        <item x="52"/>
        <item x="57"/>
        <item x="109"/>
        <item x="74"/>
        <item x="56"/>
        <item x="58"/>
        <item x="80"/>
        <item x="70"/>
        <item x="87"/>
        <item x="45"/>
        <item x="62"/>
        <item x="95"/>
        <item x="33"/>
        <item x="42"/>
        <item x="64"/>
        <item x="31"/>
        <item x="115"/>
        <item x="50"/>
        <item x="4"/>
        <item x="41"/>
        <item x="29"/>
        <item x="60"/>
        <item x="113"/>
        <item x="106"/>
        <item x="24"/>
        <item x="11"/>
        <item x="96"/>
        <item x="34"/>
        <item x="102"/>
        <item x="76"/>
        <item x="116"/>
        <item x="84"/>
        <item x="22"/>
        <item x="86"/>
        <item x="81"/>
        <item x="89"/>
        <item x="51"/>
        <item x="77"/>
        <item x="100"/>
        <item x="8"/>
        <item x="30"/>
        <item x="37"/>
        <item x="16"/>
        <item x="5"/>
        <item x="54"/>
        <item x="99"/>
        <item x="97"/>
        <item x="6"/>
        <item x="112"/>
        <item x="43"/>
        <item x="92"/>
        <item x="25"/>
        <item x="26"/>
        <item x="48"/>
        <item x="65"/>
        <item x="68"/>
        <item x="73"/>
        <item x="17"/>
        <item x="19"/>
        <item x="61"/>
        <item x="66"/>
        <item x="83"/>
        <item x="14"/>
        <item x="36"/>
        <item x="94"/>
        <item x="98"/>
        <item x="7"/>
        <item x="9"/>
        <item x="67"/>
        <item x="59"/>
        <item x="23"/>
        <item x="53"/>
        <item x="75"/>
        <item x="101"/>
        <item x="104"/>
        <item x="49"/>
        <item x="69"/>
        <item x="28"/>
        <item x="55"/>
        <item x="79"/>
        <item x="91"/>
        <item t="default"/>
      </items>
    </pivotField>
    <pivotField showAll="0"/>
    <pivotField showAll="0"/>
    <pivotField showAll="0"/>
    <pivotField numFmtId="1" showAll="0"/>
    <pivotField numFmtId="1" showAll="0"/>
    <pivotField showAll="0"/>
    <pivotField numFmtId="44" showAll="0"/>
    <pivotField numFmtId="1" showAll="0"/>
    <pivotField numFmtId="1" showAll="0"/>
    <pivotField numFmtId="1" showAll="0"/>
    <pivotField numFmtId="44" showAll="0"/>
  </pivotFields>
  <formats count="2">
    <format dxfId="11">
      <pivotArea field="0" type="button" dataOnly="0" labelOnly="1" outline="0"/>
    </format>
    <format dxfId="10">
      <pivotArea field="0" type="button" dataOnly="0" labelOnly="1" outline="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DM_Name" xr10:uid="{09829286-F4B0-478D-817D-BA7B2B132638}" sourceName="BDM Name">
  <pivotTables>
    <pivotTable tabId="13" name="PivotTable2"/>
    <pivotTable tabId="13" name="PivotTable3"/>
    <pivotTable tabId="13" name="PivotTable6"/>
    <pivotTable tabId="13" name="PivotTable7"/>
    <pivotTable tabId="13" name="PivotTable8"/>
    <pivotTable tabId="13" name="PivotTable9"/>
    <pivotTable tabId="13" name="PivotTable10"/>
  </pivotTables>
  <data>
    <tabular pivotCacheId="1289742191">
      <items count="17">
        <i x="6" s="1"/>
        <i x="7" s="1"/>
        <i x="16" s="1"/>
        <i x="11" s="1"/>
        <i x="4" s="1"/>
        <i x="9" s="1"/>
        <i x="13" s="1"/>
        <i x="12" s="1"/>
        <i x="15" s="1"/>
        <i x="3" s="1"/>
        <i x="10" s="1"/>
        <i x="5" s="1"/>
        <i x="0" s="1"/>
        <i x="8" s="1"/>
        <i x="2" s="1"/>
        <i x="1" s="1"/>
        <i x="14"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M_Name" xr10:uid="{7D988733-7E58-4179-9B96-98550E000326}" sourceName="RM Name">
  <pivotTables>
    <pivotTable tabId="13" name="PivotTable2"/>
    <pivotTable tabId="13" name="PivotTable3"/>
    <pivotTable tabId="13" name="PivotTable6"/>
    <pivotTable tabId="13" name="PivotTable7"/>
    <pivotTable tabId="13" name="PivotTable8"/>
    <pivotTable tabId="13" name="PivotTable9"/>
    <pivotTable tabId="13" name="PivotTable10"/>
  </pivotTables>
  <data>
    <tabular pivotCacheId="1289742191">
      <items count="6">
        <i x="2" s="1"/>
        <i x="1" s="1"/>
        <i x="3" s="1"/>
        <i x="4" s="1"/>
        <i x="0" s="1"/>
        <i x="5"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79452692-E11F-4D66-A4C6-BD0CCBEEB29A}" sourceName="State">
  <pivotTables>
    <pivotTable tabId="13" name="PivotTable2"/>
    <pivotTable tabId="13" name="PivotTable3"/>
    <pivotTable tabId="13" name="PivotTable6"/>
    <pivotTable tabId="13" name="PivotTable7"/>
    <pivotTable tabId="13" name="PivotTable8"/>
    <pivotTable tabId="13" name="PivotTable9"/>
    <pivotTable tabId="13" name="PivotTable10"/>
  </pivotTables>
  <data>
    <tabular pivotCacheId="1289742191">
      <items count="33">
        <i x="29" s="1"/>
        <i x="22" s="1"/>
        <i x="28" s="1"/>
        <i x="8" s="1"/>
        <i x="30" s="1"/>
        <i x="23" s="1"/>
        <i x="24" s="1"/>
        <i x="21" s="1"/>
        <i x="5" s="1"/>
        <i x="26" s="1"/>
        <i x="6" s="1"/>
        <i x="27" s="1"/>
        <i x="25" s="1"/>
        <i x="17" s="1"/>
        <i x="12" s="1"/>
        <i x="15" s="1"/>
        <i x="16" s="1"/>
        <i x="18" s="1"/>
        <i x="9" s="1"/>
        <i x="14" s="1"/>
        <i x="0" s="1"/>
        <i x="7" s="1"/>
        <i x="13" s="1"/>
        <i x="2" s="1"/>
        <i x="4" s="1"/>
        <i x="3" s="1"/>
        <i x="1" s="1"/>
        <i x="10" s="1"/>
        <i x="20" s="1"/>
        <i x="19" s="1"/>
        <i x="11" s="1"/>
        <i x="31" s="1"/>
        <i x="3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DM Name" xr10:uid="{60D17DAD-9261-447B-A9E6-C2ADABC71032}" cache="Slicer_BDM_Name" caption="BDM Name" style="SlicerStyleLight4" rowHeight="241300"/>
  <slicer name="RM Name" xr10:uid="{E0AF2A57-0CB0-413D-BAD2-33FC9B386316}" cache="Slicer_RM_Name" caption="RM Name" style="SlicerStyleLight4" rowHeight="241300"/>
  <slicer name="State" xr10:uid="{B00B7987-293E-4626-B950-794EF93AA773}" cache="Slicer_State" caption="State" style="SlicerStyleLight4"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604D15-1773-407F-8FE1-AA25CAFC6A9C}">
  <sheetPr codeName="Sheet1"/>
  <dimension ref="A1:Y47"/>
  <sheetViews>
    <sheetView showGridLines="0" tabSelected="1" zoomScale="84" zoomScaleNormal="84" workbookViewId="0">
      <selection activeCell="R3" sqref="R3"/>
    </sheetView>
  </sheetViews>
  <sheetFormatPr defaultRowHeight="15" x14ac:dyDescent="0.25"/>
  <cols>
    <col min="4" max="4" width="23.5703125" bestFit="1" customWidth="1"/>
    <col min="5" max="5" width="9.85546875" bestFit="1" customWidth="1"/>
    <col min="18" max="18" width="23.5703125" bestFit="1" customWidth="1"/>
    <col min="24" max="24" width="13.28515625" bestFit="1" customWidth="1"/>
    <col min="25" max="25" width="18" bestFit="1" customWidth="1"/>
  </cols>
  <sheetData>
    <row r="1" spans="1:25" ht="28.5" x14ac:dyDescent="0.45">
      <c r="A1" s="1"/>
      <c r="B1" s="1"/>
      <c r="C1" s="1"/>
      <c r="D1" s="1"/>
      <c r="E1" s="6"/>
      <c r="F1" s="7"/>
      <c r="G1" s="5"/>
      <c r="H1" s="5"/>
      <c r="I1" s="5"/>
      <c r="J1" s="21" t="s">
        <v>191</v>
      </c>
      <c r="K1" s="5"/>
      <c r="L1" s="21"/>
      <c r="M1" s="1"/>
      <c r="N1" s="1"/>
      <c r="O1" s="1"/>
      <c r="P1" s="1"/>
      <c r="Q1" s="1"/>
      <c r="R1" s="1"/>
      <c r="S1" s="1"/>
      <c r="T1" s="1"/>
      <c r="U1" s="1"/>
      <c r="V1" s="8"/>
      <c r="W1" s="8"/>
      <c r="X1" s="8"/>
      <c r="Y1" s="8"/>
    </row>
    <row r="2" spans="1:25" ht="18.75" x14ac:dyDescent="0.3">
      <c r="A2" s="1"/>
      <c r="B2" s="1"/>
      <c r="C2" s="1"/>
      <c r="D2" s="19" t="s">
        <v>198</v>
      </c>
      <c r="E2" s="20"/>
      <c r="F2" s="20"/>
      <c r="G2" s="1"/>
      <c r="H2" s="1"/>
      <c r="I2" s="1"/>
      <c r="J2" s="19" t="s">
        <v>199</v>
      </c>
      <c r="K2" s="1"/>
      <c r="L2" s="1" t="s">
        <v>206</v>
      </c>
      <c r="M2" s="1"/>
      <c r="N2" s="1"/>
      <c r="O2" s="1"/>
      <c r="P2" s="1"/>
      <c r="Q2" s="1"/>
      <c r="R2" s="1"/>
      <c r="S2" s="19" t="s">
        <v>200</v>
      </c>
      <c r="T2" s="1"/>
      <c r="U2" s="1"/>
      <c r="V2" s="8"/>
      <c r="W2" s="8"/>
      <c r="X2" s="24"/>
      <c r="Y2" s="8"/>
    </row>
    <row r="3" spans="1:25" ht="18.75" x14ac:dyDescent="0.3">
      <c r="A3" s="1"/>
      <c r="B3" s="1"/>
      <c r="C3" s="1"/>
      <c r="D3" s="19">
        <f>GETPIVOTDATA("Sum of Agents + Merchants",'Pivot Tables'!$S$3)</f>
        <v>55063</v>
      </c>
      <c r="E3" s="1"/>
      <c r="F3" s="1"/>
      <c r="G3" s="1"/>
      <c r="H3" s="1"/>
      <c r="I3" s="1"/>
      <c r="J3" s="19">
        <f>GETPIVOTDATA("Sum of Active",'Pivot Tables'!$S$3)</f>
        <v>10297</v>
      </c>
      <c r="K3" s="1"/>
      <c r="L3" s="25"/>
      <c r="M3" s="1"/>
      <c r="N3" s="1"/>
      <c r="O3" s="1"/>
      <c r="P3" s="1"/>
      <c r="Q3" s="1"/>
      <c r="R3" s="1"/>
      <c r="S3" s="19">
        <f>GETPIVOTDATA("Transaction Count",'Pivot Tables'!$E$3)</f>
        <v>662056</v>
      </c>
      <c r="T3" s="1"/>
      <c r="U3" s="1"/>
      <c r="V3" s="1"/>
      <c r="W3" s="1"/>
      <c r="X3" s="1"/>
      <c r="Y3" s="1"/>
    </row>
    <row r="10" spans="1:25" x14ac:dyDescent="0.25">
      <c r="K10" s="9"/>
    </row>
    <row r="16" spans="1:25" x14ac:dyDescent="0.25">
      <c r="G16" s="9"/>
    </row>
    <row r="23" spans="4:25" ht="18.75" x14ac:dyDescent="0.3">
      <c r="D23" s="19" t="s">
        <v>201</v>
      </c>
      <c r="E23" s="1"/>
      <c r="F23" s="1"/>
      <c r="G23" s="1"/>
      <c r="H23" s="1"/>
      <c r="I23" s="1"/>
      <c r="J23" s="1"/>
      <c r="K23" s="1"/>
      <c r="L23" s="1"/>
      <c r="M23" s="1"/>
      <c r="N23" s="1"/>
      <c r="O23" s="19" t="s">
        <v>202</v>
      </c>
      <c r="P23" s="1"/>
      <c r="Q23" s="1"/>
      <c r="R23" s="1"/>
      <c r="S23" s="19" t="s">
        <v>203</v>
      </c>
      <c r="T23" s="1"/>
      <c r="U23" s="1"/>
      <c r="V23" s="1"/>
      <c r="W23" s="1"/>
      <c r="X23" s="1"/>
      <c r="Y23" s="1"/>
    </row>
    <row r="24" spans="4:25" ht="18.75" x14ac:dyDescent="0.3">
      <c r="D24" s="23">
        <f>GETPIVOTDATA("Transaction value",'Pivot Tables'!$H$3)</f>
        <v>8518520721</v>
      </c>
      <c r="E24" s="1"/>
      <c r="F24" s="1"/>
      <c r="G24" s="1"/>
      <c r="H24" s="1"/>
      <c r="I24" s="1"/>
      <c r="J24" s="1"/>
      <c r="K24" s="1"/>
      <c r="L24" s="1"/>
      <c r="M24" s="1"/>
      <c r="N24" s="1"/>
      <c r="O24" s="19">
        <f>GETPIVOTDATA("Sum of Number of POS",'Pivot Tables'!$K$3)</f>
        <v>15699</v>
      </c>
      <c r="P24" s="1"/>
      <c r="Q24" s="1"/>
      <c r="R24" s="1"/>
      <c r="S24" s="19">
        <f>GETPIVOTDATA("Sum of Active POS",'Pivot Tables'!$K$3)</f>
        <v>7255</v>
      </c>
      <c r="T24" s="1"/>
      <c r="U24" s="1"/>
      <c r="V24" s="1"/>
      <c r="W24" s="1"/>
      <c r="X24" s="1"/>
      <c r="Y24" s="1"/>
    </row>
    <row r="46" spans="1:25" ht="18.75" x14ac:dyDescent="0.3">
      <c r="A46" s="1"/>
      <c r="B46" s="1"/>
      <c r="C46" s="1"/>
      <c r="D46" s="1"/>
      <c r="E46" s="19" t="s">
        <v>205</v>
      </c>
      <c r="F46" s="1"/>
      <c r="G46" s="1"/>
      <c r="H46" s="1"/>
      <c r="I46" s="1"/>
      <c r="J46" s="1"/>
      <c r="K46" s="1"/>
      <c r="L46" s="1"/>
      <c r="M46" s="1"/>
      <c r="N46" s="1"/>
      <c r="O46" s="1"/>
      <c r="P46" s="1"/>
      <c r="Q46" s="1"/>
      <c r="R46" s="19" t="s">
        <v>204</v>
      </c>
      <c r="S46" s="1"/>
      <c r="T46" s="1"/>
      <c r="U46" s="1"/>
      <c r="V46" s="1"/>
      <c r="W46" s="1"/>
      <c r="X46" s="1"/>
      <c r="Y46" s="1"/>
    </row>
    <row r="47" spans="1:25" ht="18.75" x14ac:dyDescent="0.3">
      <c r="A47" s="1"/>
      <c r="B47" s="1"/>
      <c r="C47" s="1"/>
      <c r="D47" s="1"/>
      <c r="E47" s="19">
        <f>GETPIVOTDATA("POS transaction count",'Pivot Tables'!$N$3)</f>
        <v>380898</v>
      </c>
      <c r="F47" s="1"/>
      <c r="G47" s="1"/>
      <c r="H47" s="1"/>
      <c r="I47" s="1"/>
      <c r="J47" s="1"/>
      <c r="K47" s="1"/>
      <c r="L47" s="1"/>
      <c r="M47" s="1"/>
      <c r="N47" s="1"/>
      <c r="O47" s="1"/>
      <c r="P47" s="1"/>
      <c r="Q47" s="1"/>
      <c r="R47" s="23">
        <f>GETPIVOTDATA("POS transaction value",'Pivot Tables'!$P$3)</f>
        <v>3960120311</v>
      </c>
      <c r="S47" s="1"/>
      <c r="T47" s="1"/>
      <c r="U47" s="1"/>
      <c r="V47" s="1"/>
      <c r="W47" s="1"/>
      <c r="X47" s="1"/>
      <c r="Y47" s="1"/>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4762CC-F93C-4D2A-BF34-1C3A05C36993}">
  <sheetPr codeName="Sheet2"/>
  <dimension ref="A1:L241"/>
  <sheetViews>
    <sheetView workbookViewId="0">
      <selection activeCell="E241" sqref="E241"/>
    </sheetView>
  </sheetViews>
  <sheetFormatPr defaultRowHeight="15" x14ac:dyDescent="0.25"/>
  <cols>
    <col min="2" max="2" width="12.85546875" customWidth="1"/>
    <col min="3" max="3" width="14.28515625" customWidth="1"/>
    <col min="5" max="6" width="9.140625" style="2"/>
    <col min="7" max="7" width="17" style="2" customWidth="1"/>
    <col min="8" max="8" width="17.5703125" style="22" customWidth="1"/>
    <col min="9" max="11" width="9.140625" style="2"/>
    <col min="12" max="12" width="16.42578125" style="22" customWidth="1"/>
  </cols>
  <sheetData>
    <row r="1" spans="1:12" x14ac:dyDescent="0.25">
      <c r="A1" t="s">
        <v>0</v>
      </c>
      <c r="B1" t="s">
        <v>1</v>
      </c>
      <c r="C1" t="s">
        <v>2</v>
      </c>
      <c r="D1" t="s">
        <v>3</v>
      </c>
      <c r="E1" s="2" t="s">
        <v>4</v>
      </c>
      <c r="F1" s="2" t="s">
        <v>5</v>
      </c>
      <c r="G1" s="2" t="s">
        <v>182</v>
      </c>
      <c r="H1" s="22" t="s">
        <v>183</v>
      </c>
      <c r="I1" s="2" t="s">
        <v>184</v>
      </c>
      <c r="J1" s="2" t="s">
        <v>6</v>
      </c>
      <c r="K1" s="2" t="s">
        <v>185</v>
      </c>
      <c r="L1" s="22" t="s">
        <v>186</v>
      </c>
    </row>
    <row r="2" spans="1:12" x14ac:dyDescent="0.25">
      <c r="A2" t="s">
        <v>7</v>
      </c>
      <c r="B2" t="s">
        <v>8</v>
      </c>
      <c r="C2" t="s">
        <v>9</v>
      </c>
      <c r="D2" t="s">
        <v>10</v>
      </c>
      <c r="E2" s="2">
        <v>448</v>
      </c>
      <c r="F2" s="2">
        <v>88</v>
      </c>
      <c r="G2" s="2">
        <v>7221</v>
      </c>
      <c r="H2" s="22">
        <v>70679596</v>
      </c>
      <c r="I2" s="2">
        <v>118</v>
      </c>
      <c r="J2" s="2">
        <v>54</v>
      </c>
      <c r="K2" s="2">
        <v>4559</v>
      </c>
      <c r="L2" s="22">
        <v>30606970</v>
      </c>
    </row>
    <row r="3" spans="1:12" x14ac:dyDescent="0.25">
      <c r="A3" t="s">
        <v>11</v>
      </c>
      <c r="B3" t="s">
        <v>8</v>
      </c>
      <c r="C3" t="s">
        <v>9</v>
      </c>
      <c r="D3" t="s">
        <v>10</v>
      </c>
      <c r="E3" s="2">
        <v>404</v>
      </c>
      <c r="F3" s="2">
        <v>108</v>
      </c>
      <c r="G3" s="2">
        <v>11529</v>
      </c>
      <c r="H3" s="22">
        <v>121580220</v>
      </c>
      <c r="I3" s="2">
        <v>162</v>
      </c>
      <c r="J3" s="2">
        <v>89</v>
      </c>
      <c r="K3" s="2">
        <v>6153</v>
      </c>
      <c r="L3" s="22">
        <v>65154972</v>
      </c>
    </row>
    <row r="4" spans="1:12" x14ac:dyDescent="0.25">
      <c r="A4" t="s">
        <v>12</v>
      </c>
      <c r="B4" t="s">
        <v>8</v>
      </c>
      <c r="C4" t="s">
        <v>9</v>
      </c>
      <c r="D4" t="s">
        <v>10</v>
      </c>
      <c r="E4" s="2">
        <v>255</v>
      </c>
      <c r="F4" s="2">
        <v>39</v>
      </c>
      <c r="G4" s="2">
        <v>4145</v>
      </c>
      <c r="H4" s="22">
        <v>39395698</v>
      </c>
      <c r="I4" s="2">
        <v>73</v>
      </c>
      <c r="J4" s="2">
        <v>54</v>
      </c>
      <c r="K4" s="2">
        <v>3303</v>
      </c>
      <c r="L4" s="22">
        <v>20808270</v>
      </c>
    </row>
    <row r="5" spans="1:12" x14ac:dyDescent="0.25">
      <c r="A5" t="s">
        <v>13</v>
      </c>
      <c r="B5" t="s">
        <v>8</v>
      </c>
      <c r="C5" t="s">
        <v>9</v>
      </c>
      <c r="D5" t="s">
        <v>10</v>
      </c>
      <c r="E5" s="2">
        <v>403</v>
      </c>
      <c r="F5" s="2">
        <v>117</v>
      </c>
      <c r="G5" s="2">
        <v>8014</v>
      </c>
      <c r="H5" s="22">
        <v>107613246</v>
      </c>
      <c r="I5" s="2">
        <v>101</v>
      </c>
      <c r="J5" s="2">
        <v>46</v>
      </c>
      <c r="K5" s="2">
        <v>3007</v>
      </c>
      <c r="L5" s="22">
        <v>38467340</v>
      </c>
    </row>
    <row r="6" spans="1:12" x14ac:dyDescent="0.25">
      <c r="A6" t="s">
        <v>14</v>
      </c>
      <c r="B6" t="s">
        <v>8</v>
      </c>
      <c r="C6" t="s">
        <v>9</v>
      </c>
      <c r="D6" t="s">
        <v>10</v>
      </c>
      <c r="E6" s="2">
        <v>363</v>
      </c>
      <c r="F6" s="2">
        <v>105</v>
      </c>
      <c r="G6" s="2">
        <v>7076</v>
      </c>
      <c r="H6" s="22">
        <v>64972782</v>
      </c>
      <c r="I6" s="2">
        <v>114</v>
      </c>
      <c r="J6" s="2">
        <v>55</v>
      </c>
      <c r="K6" s="2">
        <v>4005</v>
      </c>
      <c r="L6" s="22">
        <v>32721652</v>
      </c>
    </row>
    <row r="7" spans="1:12" x14ac:dyDescent="0.25">
      <c r="A7" t="s">
        <v>15</v>
      </c>
      <c r="B7" t="s">
        <v>16</v>
      </c>
      <c r="C7" t="s">
        <v>9</v>
      </c>
      <c r="D7" t="s">
        <v>10</v>
      </c>
      <c r="E7" s="2">
        <v>360</v>
      </c>
      <c r="F7" s="2">
        <v>88</v>
      </c>
      <c r="G7" s="2">
        <v>8854</v>
      </c>
      <c r="H7" s="22">
        <v>114183862</v>
      </c>
      <c r="I7" s="2">
        <v>140</v>
      </c>
      <c r="J7" s="2">
        <v>73</v>
      </c>
      <c r="K7" s="2">
        <v>4959</v>
      </c>
      <c r="L7" s="22">
        <v>54854482</v>
      </c>
    </row>
    <row r="8" spans="1:12" x14ac:dyDescent="0.25">
      <c r="A8" t="s">
        <v>17</v>
      </c>
      <c r="B8" t="s">
        <v>8</v>
      </c>
      <c r="C8" t="s">
        <v>9</v>
      </c>
      <c r="D8" t="s">
        <v>10</v>
      </c>
      <c r="E8" s="2">
        <v>395</v>
      </c>
      <c r="F8" s="2">
        <v>59</v>
      </c>
      <c r="G8" s="2">
        <v>5679</v>
      </c>
      <c r="H8" s="22">
        <v>132588853</v>
      </c>
      <c r="I8" s="2">
        <v>85</v>
      </c>
      <c r="J8" s="2">
        <v>33</v>
      </c>
      <c r="K8" s="2">
        <v>2938</v>
      </c>
      <c r="L8" s="22">
        <v>37749250</v>
      </c>
    </row>
    <row r="9" spans="1:12" x14ac:dyDescent="0.25">
      <c r="A9" t="s">
        <v>18</v>
      </c>
      <c r="B9" t="s">
        <v>8</v>
      </c>
      <c r="C9" t="s">
        <v>9</v>
      </c>
      <c r="D9" t="s">
        <v>10</v>
      </c>
      <c r="E9" s="2">
        <v>498</v>
      </c>
      <c r="F9" s="2">
        <v>73</v>
      </c>
      <c r="G9" s="2">
        <v>8033</v>
      </c>
      <c r="H9" s="22">
        <v>172787169</v>
      </c>
      <c r="I9" s="2">
        <v>125</v>
      </c>
      <c r="J9" s="2">
        <v>36</v>
      </c>
      <c r="K9" s="2">
        <v>4481</v>
      </c>
      <c r="L9" s="22">
        <v>60131070</v>
      </c>
    </row>
    <row r="10" spans="1:12" x14ac:dyDescent="0.25">
      <c r="A10" t="s">
        <v>19</v>
      </c>
      <c r="B10" t="s">
        <v>8</v>
      </c>
      <c r="C10" t="s">
        <v>9</v>
      </c>
      <c r="D10" t="s">
        <v>10</v>
      </c>
      <c r="E10" s="2">
        <v>443</v>
      </c>
      <c r="F10" s="2">
        <v>87</v>
      </c>
      <c r="G10" s="2">
        <v>7559</v>
      </c>
      <c r="H10" s="22">
        <v>72479497</v>
      </c>
      <c r="I10" s="2">
        <v>94</v>
      </c>
      <c r="J10" s="2">
        <v>34</v>
      </c>
      <c r="K10" s="2">
        <v>3097</v>
      </c>
      <c r="L10" s="22">
        <v>23912039</v>
      </c>
    </row>
    <row r="11" spans="1:12" x14ac:dyDescent="0.25">
      <c r="A11" t="s">
        <v>20</v>
      </c>
      <c r="B11" t="s">
        <v>8</v>
      </c>
      <c r="C11" t="s">
        <v>9</v>
      </c>
      <c r="D11" t="s">
        <v>10</v>
      </c>
      <c r="E11" s="2">
        <v>0</v>
      </c>
      <c r="F11" s="2">
        <v>0</v>
      </c>
      <c r="G11" s="2">
        <v>0</v>
      </c>
      <c r="H11" s="22">
        <v>0</v>
      </c>
      <c r="I11" s="2">
        <v>0</v>
      </c>
      <c r="J11" s="2">
        <v>0</v>
      </c>
      <c r="K11" s="2">
        <v>0</v>
      </c>
      <c r="L11" s="22">
        <v>0</v>
      </c>
    </row>
    <row r="12" spans="1:12" x14ac:dyDescent="0.25">
      <c r="A12" t="s">
        <v>21</v>
      </c>
      <c r="B12" t="s">
        <v>16</v>
      </c>
      <c r="C12" t="s">
        <v>9</v>
      </c>
      <c r="D12" t="s">
        <v>10</v>
      </c>
      <c r="E12" s="2">
        <v>213</v>
      </c>
      <c r="F12" s="2">
        <v>49</v>
      </c>
      <c r="G12" s="2">
        <v>5423</v>
      </c>
      <c r="H12" s="22">
        <v>88257821</v>
      </c>
      <c r="I12" s="2">
        <v>77</v>
      </c>
      <c r="J12" s="2">
        <v>45</v>
      </c>
      <c r="K12" s="2">
        <v>2898</v>
      </c>
      <c r="L12" s="22">
        <v>21721570</v>
      </c>
    </row>
    <row r="13" spans="1:12" x14ac:dyDescent="0.25">
      <c r="A13" t="s">
        <v>22</v>
      </c>
      <c r="B13" t="s">
        <v>16</v>
      </c>
      <c r="C13" t="s">
        <v>9</v>
      </c>
      <c r="D13" t="s">
        <v>10</v>
      </c>
      <c r="E13" s="2">
        <v>545</v>
      </c>
      <c r="F13" s="2">
        <v>154</v>
      </c>
      <c r="G13" s="2">
        <v>22915</v>
      </c>
      <c r="H13" s="22">
        <v>272253806</v>
      </c>
      <c r="I13" s="2">
        <v>197</v>
      </c>
      <c r="J13" s="2">
        <v>131</v>
      </c>
      <c r="K13" s="2">
        <v>11457</v>
      </c>
      <c r="L13" s="22">
        <v>112956545</v>
      </c>
    </row>
    <row r="14" spans="1:12" x14ac:dyDescent="0.25">
      <c r="A14" t="s">
        <v>23</v>
      </c>
      <c r="B14" t="s">
        <v>24</v>
      </c>
      <c r="C14" t="s">
        <v>25</v>
      </c>
      <c r="D14" t="s">
        <v>26</v>
      </c>
      <c r="E14" s="2">
        <v>388</v>
      </c>
      <c r="F14" s="2">
        <v>71</v>
      </c>
      <c r="G14" s="2">
        <v>6684</v>
      </c>
      <c r="H14" s="22">
        <v>72889502</v>
      </c>
      <c r="I14" s="2">
        <v>70</v>
      </c>
      <c r="J14" s="2">
        <v>50</v>
      </c>
      <c r="K14" s="2">
        <v>3496</v>
      </c>
      <c r="L14" s="22">
        <v>33865474</v>
      </c>
    </row>
    <row r="15" spans="1:12" x14ac:dyDescent="0.25">
      <c r="A15" t="s">
        <v>27</v>
      </c>
      <c r="B15" t="s">
        <v>24</v>
      </c>
      <c r="C15" t="s">
        <v>25</v>
      </c>
      <c r="D15" t="s">
        <v>26</v>
      </c>
      <c r="E15" s="2">
        <v>574</v>
      </c>
      <c r="F15" s="2">
        <v>125</v>
      </c>
      <c r="G15" s="2">
        <v>16240</v>
      </c>
      <c r="H15" s="22">
        <v>179516513</v>
      </c>
      <c r="I15" s="2">
        <v>174</v>
      </c>
      <c r="J15" s="2">
        <v>104</v>
      </c>
      <c r="K15" s="2">
        <v>10025</v>
      </c>
      <c r="L15" s="22">
        <v>84971461</v>
      </c>
    </row>
    <row r="16" spans="1:12" x14ac:dyDescent="0.25">
      <c r="A16" t="s">
        <v>28</v>
      </c>
      <c r="B16" t="s">
        <v>24</v>
      </c>
      <c r="C16" t="s">
        <v>25</v>
      </c>
      <c r="D16" t="s">
        <v>26</v>
      </c>
      <c r="E16" s="2">
        <v>0</v>
      </c>
      <c r="F16" s="2">
        <v>0</v>
      </c>
      <c r="G16" s="2">
        <v>0</v>
      </c>
      <c r="H16" s="22">
        <v>0</v>
      </c>
      <c r="I16" s="2">
        <v>0</v>
      </c>
      <c r="J16" s="2">
        <v>0</v>
      </c>
      <c r="K16" s="2">
        <v>0</v>
      </c>
      <c r="L16" s="22">
        <v>0</v>
      </c>
    </row>
    <row r="17" spans="1:12" x14ac:dyDescent="0.25">
      <c r="A17" t="s">
        <v>29</v>
      </c>
      <c r="B17" t="s">
        <v>24</v>
      </c>
      <c r="C17" t="s">
        <v>25</v>
      </c>
      <c r="D17" t="s">
        <v>30</v>
      </c>
      <c r="E17" s="2">
        <v>0</v>
      </c>
      <c r="F17" s="2">
        <v>0</v>
      </c>
      <c r="G17" s="2">
        <v>0</v>
      </c>
      <c r="H17" s="22">
        <v>0</v>
      </c>
      <c r="I17" s="2">
        <v>0</v>
      </c>
      <c r="J17" s="2">
        <v>0</v>
      </c>
      <c r="K17" s="2">
        <v>0</v>
      </c>
      <c r="L17" s="22">
        <v>0</v>
      </c>
    </row>
    <row r="18" spans="1:12" x14ac:dyDescent="0.25">
      <c r="A18" t="s">
        <v>31</v>
      </c>
      <c r="B18" t="s">
        <v>24</v>
      </c>
      <c r="C18" t="s">
        <v>25</v>
      </c>
      <c r="D18" t="s">
        <v>32</v>
      </c>
      <c r="E18" s="2">
        <v>756</v>
      </c>
      <c r="F18" s="2">
        <v>195</v>
      </c>
      <c r="G18" s="2">
        <v>12085</v>
      </c>
      <c r="H18" s="22">
        <v>154142744</v>
      </c>
      <c r="I18" s="2">
        <v>155</v>
      </c>
      <c r="J18" s="2">
        <v>103</v>
      </c>
      <c r="K18" s="2">
        <v>7030</v>
      </c>
      <c r="L18" s="22">
        <v>58186575</v>
      </c>
    </row>
    <row r="19" spans="1:12" x14ac:dyDescent="0.25">
      <c r="A19" t="s">
        <v>33</v>
      </c>
      <c r="B19" t="s">
        <v>24</v>
      </c>
      <c r="C19" t="s">
        <v>25</v>
      </c>
      <c r="D19" t="s">
        <v>32</v>
      </c>
      <c r="E19" s="2">
        <v>575</v>
      </c>
      <c r="F19" s="2">
        <v>119</v>
      </c>
      <c r="G19" s="2">
        <v>10776</v>
      </c>
      <c r="H19" s="22">
        <v>154308573</v>
      </c>
      <c r="I19" s="2">
        <v>138</v>
      </c>
      <c r="J19" s="2">
        <v>97</v>
      </c>
      <c r="K19" s="2">
        <v>6591</v>
      </c>
      <c r="L19" s="22">
        <v>61438286</v>
      </c>
    </row>
    <row r="20" spans="1:12" x14ac:dyDescent="0.25">
      <c r="A20" t="s">
        <v>34</v>
      </c>
      <c r="B20" t="s">
        <v>24</v>
      </c>
      <c r="C20" t="s">
        <v>25</v>
      </c>
      <c r="D20" t="s">
        <v>35</v>
      </c>
      <c r="E20" s="2">
        <v>0</v>
      </c>
      <c r="F20" s="2">
        <v>0</v>
      </c>
      <c r="G20" s="2">
        <v>0</v>
      </c>
      <c r="H20" s="22">
        <v>0</v>
      </c>
      <c r="I20" s="2">
        <v>0</v>
      </c>
      <c r="J20" s="2">
        <v>0</v>
      </c>
      <c r="K20" s="2">
        <v>0</v>
      </c>
      <c r="L20" s="22">
        <v>0</v>
      </c>
    </row>
    <row r="21" spans="1:12" x14ac:dyDescent="0.25">
      <c r="A21" t="s">
        <v>36</v>
      </c>
      <c r="B21" t="s">
        <v>24</v>
      </c>
      <c r="C21" t="s">
        <v>25</v>
      </c>
      <c r="D21" t="s">
        <v>37</v>
      </c>
      <c r="E21" s="2">
        <v>0</v>
      </c>
      <c r="F21" s="2">
        <v>0</v>
      </c>
      <c r="G21" s="2">
        <v>0</v>
      </c>
      <c r="H21" s="22">
        <v>0</v>
      </c>
      <c r="I21" s="2">
        <v>0</v>
      </c>
      <c r="J21" s="2">
        <v>0</v>
      </c>
      <c r="K21" s="2">
        <v>0</v>
      </c>
      <c r="L21" s="22">
        <v>0</v>
      </c>
    </row>
    <row r="22" spans="1:12" x14ac:dyDescent="0.25">
      <c r="A22" t="s">
        <v>38</v>
      </c>
      <c r="B22" t="s">
        <v>39</v>
      </c>
      <c r="C22" t="s">
        <v>40</v>
      </c>
      <c r="D22" t="s">
        <v>41</v>
      </c>
      <c r="E22" s="2">
        <v>543</v>
      </c>
      <c r="F22" s="2">
        <v>75</v>
      </c>
      <c r="G22" s="2">
        <v>5981</v>
      </c>
      <c r="H22" s="22">
        <v>54065363</v>
      </c>
      <c r="I22" s="2">
        <v>114</v>
      </c>
      <c r="J22" s="2">
        <v>48</v>
      </c>
      <c r="K22" s="2">
        <v>2797</v>
      </c>
      <c r="L22" s="22">
        <v>23605760</v>
      </c>
    </row>
    <row r="23" spans="1:12" x14ac:dyDescent="0.25">
      <c r="A23" t="s">
        <v>42</v>
      </c>
      <c r="B23" t="s">
        <v>39</v>
      </c>
      <c r="C23" t="s">
        <v>40</v>
      </c>
      <c r="D23" t="s">
        <v>41</v>
      </c>
      <c r="E23" s="2">
        <v>466</v>
      </c>
      <c r="F23" s="2">
        <v>83</v>
      </c>
      <c r="G23" s="2">
        <v>7431</v>
      </c>
      <c r="H23" s="22">
        <v>112732514</v>
      </c>
      <c r="I23" s="2">
        <v>136</v>
      </c>
      <c r="J23" s="2">
        <v>58</v>
      </c>
      <c r="K23" s="2">
        <v>4617</v>
      </c>
      <c r="L23" s="22">
        <v>51577872</v>
      </c>
    </row>
    <row r="24" spans="1:12" x14ac:dyDescent="0.25">
      <c r="A24" t="s">
        <v>43</v>
      </c>
      <c r="B24" t="s">
        <v>39</v>
      </c>
      <c r="C24" t="s">
        <v>40</v>
      </c>
      <c r="D24" t="s">
        <v>44</v>
      </c>
      <c r="E24" s="2">
        <v>330</v>
      </c>
      <c r="F24" s="2">
        <v>36</v>
      </c>
      <c r="G24" s="2">
        <v>8547</v>
      </c>
      <c r="H24" s="22">
        <v>86405361</v>
      </c>
      <c r="I24" s="2">
        <v>91</v>
      </c>
      <c r="J24" s="2">
        <v>47</v>
      </c>
      <c r="K24" s="2">
        <v>6374</v>
      </c>
      <c r="L24" s="22">
        <v>50890660</v>
      </c>
    </row>
    <row r="25" spans="1:12" x14ac:dyDescent="0.25">
      <c r="A25" t="s">
        <v>45</v>
      </c>
      <c r="B25" t="s">
        <v>39</v>
      </c>
      <c r="C25" t="s">
        <v>40</v>
      </c>
      <c r="D25" t="s">
        <v>41</v>
      </c>
      <c r="E25" s="2">
        <v>349</v>
      </c>
      <c r="F25" s="2">
        <v>43</v>
      </c>
      <c r="G25" s="2">
        <v>2326</v>
      </c>
      <c r="H25" s="22">
        <v>29619236</v>
      </c>
      <c r="I25" s="2">
        <v>76</v>
      </c>
      <c r="J25" s="2">
        <v>33</v>
      </c>
      <c r="K25" s="2">
        <v>884</v>
      </c>
      <c r="L25" s="22">
        <v>12336676</v>
      </c>
    </row>
    <row r="26" spans="1:12" x14ac:dyDescent="0.25">
      <c r="A26" t="s">
        <v>46</v>
      </c>
      <c r="B26" t="s">
        <v>39</v>
      </c>
      <c r="C26" t="s">
        <v>40</v>
      </c>
      <c r="D26" t="s">
        <v>47</v>
      </c>
      <c r="E26" s="2">
        <v>336</v>
      </c>
      <c r="F26" s="2">
        <v>44</v>
      </c>
      <c r="G26" s="2">
        <v>4518</v>
      </c>
      <c r="H26" s="22">
        <v>57707740</v>
      </c>
      <c r="I26" s="2">
        <v>64</v>
      </c>
      <c r="J26" s="2">
        <v>38</v>
      </c>
      <c r="K26" s="2">
        <v>2441</v>
      </c>
      <c r="L26" s="22">
        <v>27116582</v>
      </c>
    </row>
    <row r="27" spans="1:12" x14ac:dyDescent="0.25">
      <c r="A27" t="s">
        <v>48</v>
      </c>
      <c r="B27" t="s">
        <v>39</v>
      </c>
      <c r="C27" t="s">
        <v>40</v>
      </c>
      <c r="D27" t="s">
        <v>49</v>
      </c>
      <c r="E27" s="2">
        <v>147</v>
      </c>
      <c r="F27" s="2">
        <v>27</v>
      </c>
      <c r="G27" s="2">
        <v>1350</v>
      </c>
      <c r="H27" s="22">
        <v>16894555</v>
      </c>
      <c r="I27" s="2">
        <v>35</v>
      </c>
      <c r="J27" s="2">
        <v>22</v>
      </c>
      <c r="K27" s="2">
        <v>607</v>
      </c>
      <c r="L27" s="22">
        <v>6712700</v>
      </c>
    </row>
    <row r="28" spans="1:12" x14ac:dyDescent="0.25">
      <c r="A28" t="s">
        <v>50</v>
      </c>
      <c r="B28" t="s">
        <v>39</v>
      </c>
      <c r="C28" t="s">
        <v>40</v>
      </c>
      <c r="D28" t="s">
        <v>49</v>
      </c>
      <c r="E28" s="2">
        <v>391</v>
      </c>
      <c r="F28" s="2">
        <v>37</v>
      </c>
      <c r="G28" s="2">
        <v>2056</v>
      </c>
      <c r="H28" s="22">
        <v>44365403</v>
      </c>
      <c r="I28" s="2">
        <v>46</v>
      </c>
      <c r="J28" s="2">
        <v>25</v>
      </c>
      <c r="K28" s="2">
        <v>1111</v>
      </c>
      <c r="L28" s="22">
        <v>14419850</v>
      </c>
    </row>
    <row r="29" spans="1:12" x14ac:dyDescent="0.25">
      <c r="A29" t="s">
        <v>51</v>
      </c>
      <c r="B29" t="s">
        <v>52</v>
      </c>
      <c r="C29" t="s">
        <v>40</v>
      </c>
      <c r="D29" t="s">
        <v>53</v>
      </c>
      <c r="E29" s="2">
        <v>511</v>
      </c>
      <c r="F29" s="2">
        <v>78</v>
      </c>
      <c r="G29" s="2">
        <v>9311</v>
      </c>
      <c r="H29" s="22">
        <v>124854002</v>
      </c>
      <c r="I29" s="2">
        <v>99</v>
      </c>
      <c r="J29" s="2">
        <v>46</v>
      </c>
      <c r="K29" s="2">
        <v>4997</v>
      </c>
      <c r="L29" s="22">
        <v>46004883</v>
      </c>
    </row>
    <row r="30" spans="1:12" x14ac:dyDescent="0.25">
      <c r="A30" t="s">
        <v>54</v>
      </c>
      <c r="B30" t="s">
        <v>52</v>
      </c>
      <c r="C30" t="s">
        <v>40</v>
      </c>
      <c r="D30" t="s">
        <v>53</v>
      </c>
      <c r="E30" s="2">
        <v>0</v>
      </c>
      <c r="F30" s="2">
        <v>0</v>
      </c>
      <c r="G30" s="2">
        <v>0</v>
      </c>
      <c r="H30" s="22">
        <v>0</v>
      </c>
      <c r="I30" s="2">
        <v>12</v>
      </c>
      <c r="J30" s="2">
        <v>11</v>
      </c>
      <c r="K30" s="2">
        <v>0</v>
      </c>
      <c r="L30" s="22">
        <v>0</v>
      </c>
    </row>
    <row r="31" spans="1:12" x14ac:dyDescent="0.25">
      <c r="A31" t="s">
        <v>55</v>
      </c>
      <c r="B31" t="s">
        <v>52</v>
      </c>
      <c r="C31" t="s">
        <v>40</v>
      </c>
      <c r="D31" t="s">
        <v>56</v>
      </c>
      <c r="E31" s="2">
        <v>232</v>
      </c>
      <c r="F31" s="2">
        <v>46</v>
      </c>
      <c r="G31" s="2">
        <v>4586</v>
      </c>
      <c r="H31" s="22">
        <v>52471269</v>
      </c>
      <c r="I31" s="2">
        <v>100</v>
      </c>
      <c r="J31" s="2">
        <v>41</v>
      </c>
      <c r="K31" s="2">
        <v>2475</v>
      </c>
      <c r="L31" s="22">
        <v>22002210</v>
      </c>
    </row>
    <row r="32" spans="1:12" x14ac:dyDescent="0.25">
      <c r="A32" t="s">
        <v>57</v>
      </c>
      <c r="B32" t="s">
        <v>52</v>
      </c>
      <c r="C32" t="s">
        <v>40</v>
      </c>
      <c r="D32" t="s">
        <v>53</v>
      </c>
      <c r="E32" s="2">
        <v>384</v>
      </c>
      <c r="F32" s="2">
        <v>75</v>
      </c>
      <c r="G32" s="2">
        <v>5048</v>
      </c>
      <c r="H32" s="22">
        <v>77311784</v>
      </c>
      <c r="I32" s="2">
        <v>81</v>
      </c>
      <c r="J32" s="2">
        <v>52</v>
      </c>
      <c r="K32" s="2">
        <v>2797</v>
      </c>
      <c r="L32" s="22">
        <v>39873865</v>
      </c>
    </row>
    <row r="33" spans="1:12" x14ac:dyDescent="0.25">
      <c r="A33" t="s">
        <v>58</v>
      </c>
      <c r="B33" t="s">
        <v>52</v>
      </c>
      <c r="C33" t="s">
        <v>40</v>
      </c>
      <c r="D33" t="s">
        <v>53</v>
      </c>
      <c r="E33" s="2">
        <v>291</v>
      </c>
      <c r="F33" s="2">
        <v>56</v>
      </c>
      <c r="G33" s="2">
        <v>3949</v>
      </c>
      <c r="H33" s="22">
        <v>82222928</v>
      </c>
      <c r="I33" s="2">
        <v>89</v>
      </c>
      <c r="J33" s="2">
        <v>42</v>
      </c>
      <c r="K33" s="2">
        <v>2867</v>
      </c>
      <c r="L33" s="22">
        <v>43252754</v>
      </c>
    </row>
    <row r="34" spans="1:12" x14ac:dyDescent="0.25">
      <c r="A34" t="s">
        <v>59</v>
      </c>
      <c r="B34" t="s">
        <v>60</v>
      </c>
      <c r="C34" t="s">
        <v>40</v>
      </c>
      <c r="D34" t="s">
        <v>61</v>
      </c>
      <c r="E34" s="2">
        <v>566</v>
      </c>
      <c r="F34" s="2">
        <v>31</v>
      </c>
      <c r="G34" s="2">
        <v>3282</v>
      </c>
      <c r="H34" s="22">
        <v>42423704</v>
      </c>
      <c r="I34" s="2">
        <v>60</v>
      </c>
      <c r="J34" s="2">
        <v>20</v>
      </c>
      <c r="K34" s="2">
        <v>1682</v>
      </c>
      <c r="L34" s="22">
        <v>18468235</v>
      </c>
    </row>
    <row r="35" spans="1:12" x14ac:dyDescent="0.25">
      <c r="A35" t="s">
        <v>62</v>
      </c>
      <c r="B35" t="s">
        <v>60</v>
      </c>
      <c r="C35" t="s">
        <v>40</v>
      </c>
      <c r="D35" t="s">
        <v>61</v>
      </c>
      <c r="E35" s="2">
        <v>267</v>
      </c>
      <c r="F35" s="2">
        <v>32</v>
      </c>
      <c r="G35" s="2">
        <v>2787</v>
      </c>
      <c r="H35" s="22">
        <v>29644787</v>
      </c>
      <c r="I35" s="2">
        <v>47</v>
      </c>
      <c r="J35" s="2">
        <v>28</v>
      </c>
      <c r="K35" s="2">
        <v>1536</v>
      </c>
      <c r="L35" s="22">
        <v>13516816</v>
      </c>
    </row>
    <row r="36" spans="1:12" x14ac:dyDescent="0.25">
      <c r="A36" t="s">
        <v>63</v>
      </c>
      <c r="B36" t="s">
        <v>60</v>
      </c>
      <c r="C36" t="s">
        <v>40</v>
      </c>
      <c r="D36" t="s">
        <v>61</v>
      </c>
      <c r="E36" s="2">
        <v>275</v>
      </c>
      <c r="F36" s="2">
        <v>23</v>
      </c>
      <c r="G36" s="2">
        <v>1938</v>
      </c>
      <c r="H36" s="22">
        <v>19452679</v>
      </c>
      <c r="I36" s="2">
        <v>36</v>
      </c>
      <c r="J36" s="2">
        <v>21</v>
      </c>
      <c r="K36" s="2">
        <v>1224</v>
      </c>
      <c r="L36" s="22">
        <v>9180925</v>
      </c>
    </row>
    <row r="37" spans="1:12" x14ac:dyDescent="0.25">
      <c r="A37" t="s">
        <v>64</v>
      </c>
      <c r="B37" t="s">
        <v>65</v>
      </c>
      <c r="C37" t="s">
        <v>40</v>
      </c>
      <c r="D37" t="s">
        <v>66</v>
      </c>
      <c r="E37" s="2">
        <v>164</v>
      </c>
      <c r="F37" s="2">
        <v>47</v>
      </c>
      <c r="G37" s="2">
        <v>4313</v>
      </c>
      <c r="H37" s="22">
        <v>50508210</v>
      </c>
      <c r="I37" s="2">
        <v>74</v>
      </c>
      <c r="J37" s="2">
        <v>41</v>
      </c>
      <c r="K37" s="2">
        <v>2710</v>
      </c>
      <c r="L37" s="22">
        <v>26861845</v>
      </c>
    </row>
    <row r="38" spans="1:12" x14ac:dyDescent="0.25">
      <c r="A38" t="s">
        <v>67</v>
      </c>
      <c r="B38" t="s">
        <v>68</v>
      </c>
      <c r="C38" t="s">
        <v>40</v>
      </c>
      <c r="D38" t="s">
        <v>69</v>
      </c>
      <c r="E38" s="2">
        <v>108</v>
      </c>
      <c r="F38" s="2">
        <v>20</v>
      </c>
      <c r="G38" s="2">
        <v>1283</v>
      </c>
      <c r="H38" s="22">
        <v>8572771</v>
      </c>
      <c r="I38" s="2">
        <v>48</v>
      </c>
      <c r="J38" s="2">
        <v>23</v>
      </c>
      <c r="K38" s="2">
        <v>618</v>
      </c>
      <c r="L38" s="22">
        <v>4656699</v>
      </c>
    </row>
    <row r="39" spans="1:12" x14ac:dyDescent="0.25">
      <c r="A39" t="s">
        <v>70</v>
      </c>
      <c r="B39" t="s">
        <v>68</v>
      </c>
      <c r="C39" t="s">
        <v>40</v>
      </c>
      <c r="D39" t="s">
        <v>66</v>
      </c>
      <c r="E39" s="2">
        <v>298</v>
      </c>
      <c r="F39" s="2">
        <v>53</v>
      </c>
      <c r="G39" s="2">
        <v>3982</v>
      </c>
      <c r="H39" s="22">
        <v>50761947</v>
      </c>
      <c r="I39" s="2">
        <v>100</v>
      </c>
      <c r="J39" s="2">
        <v>43</v>
      </c>
      <c r="K39" s="2">
        <v>2436</v>
      </c>
      <c r="L39" s="22">
        <v>25367566</v>
      </c>
    </row>
    <row r="40" spans="1:12" x14ac:dyDescent="0.25">
      <c r="A40" t="s">
        <v>71</v>
      </c>
      <c r="B40" t="s">
        <v>65</v>
      </c>
      <c r="C40" t="s">
        <v>40</v>
      </c>
      <c r="D40" t="s">
        <v>66</v>
      </c>
      <c r="E40" s="2">
        <v>311</v>
      </c>
      <c r="F40" s="2">
        <v>46</v>
      </c>
      <c r="G40" s="2">
        <v>4251</v>
      </c>
      <c r="H40" s="22">
        <v>56776361</v>
      </c>
      <c r="I40" s="2">
        <v>91</v>
      </c>
      <c r="J40" s="2">
        <v>40</v>
      </c>
      <c r="K40" s="2">
        <v>2759</v>
      </c>
      <c r="L40" s="22">
        <v>30499252</v>
      </c>
    </row>
    <row r="41" spans="1:12" x14ac:dyDescent="0.25">
      <c r="A41" t="s">
        <v>72</v>
      </c>
      <c r="B41" t="s">
        <v>65</v>
      </c>
      <c r="C41" t="s">
        <v>40</v>
      </c>
      <c r="D41" t="s">
        <v>66</v>
      </c>
      <c r="E41" s="2">
        <v>115</v>
      </c>
      <c r="F41" s="2">
        <v>22</v>
      </c>
      <c r="G41" s="2">
        <v>729</v>
      </c>
      <c r="H41" s="22">
        <v>11963756</v>
      </c>
      <c r="I41" s="2">
        <v>41</v>
      </c>
      <c r="J41" s="2">
        <v>22</v>
      </c>
      <c r="K41" s="2">
        <v>461</v>
      </c>
      <c r="L41" s="22">
        <v>4970150</v>
      </c>
    </row>
    <row r="42" spans="1:12" x14ac:dyDescent="0.25">
      <c r="A42" t="s">
        <v>73</v>
      </c>
      <c r="B42" t="s">
        <v>68</v>
      </c>
      <c r="C42" t="s">
        <v>40</v>
      </c>
      <c r="D42" t="s">
        <v>69</v>
      </c>
      <c r="E42" s="2">
        <v>462</v>
      </c>
      <c r="F42" s="2">
        <v>165</v>
      </c>
      <c r="G42" s="2">
        <v>15090</v>
      </c>
      <c r="H42" s="22">
        <v>121528563</v>
      </c>
      <c r="I42" s="2">
        <v>167</v>
      </c>
      <c r="J42" s="2">
        <v>88</v>
      </c>
      <c r="K42" s="2">
        <v>8241</v>
      </c>
      <c r="L42" s="22">
        <v>53720714</v>
      </c>
    </row>
    <row r="43" spans="1:12" x14ac:dyDescent="0.25">
      <c r="A43" t="s">
        <v>74</v>
      </c>
      <c r="B43" t="s">
        <v>68</v>
      </c>
      <c r="C43" t="s">
        <v>40</v>
      </c>
      <c r="D43" t="s">
        <v>69</v>
      </c>
      <c r="E43" s="2">
        <v>142</v>
      </c>
      <c r="F43" s="2">
        <v>38</v>
      </c>
      <c r="G43" s="2">
        <v>3165</v>
      </c>
      <c r="H43" s="22">
        <v>33199891</v>
      </c>
      <c r="I43" s="2">
        <v>60</v>
      </c>
      <c r="J43" s="2">
        <v>39</v>
      </c>
      <c r="K43" s="2">
        <v>1805</v>
      </c>
      <c r="L43" s="22">
        <v>16549040</v>
      </c>
    </row>
    <row r="44" spans="1:12" x14ac:dyDescent="0.25">
      <c r="A44" t="s">
        <v>75</v>
      </c>
      <c r="B44" t="s">
        <v>76</v>
      </c>
      <c r="C44" t="s">
        <v>40</v>
      </c>
      <c r="D44" t="s">
        <v>77</v>
      </c>
      <c r="E44" s="2">
        <v>393</v>
      </c>
      <c r="F44" s="2">
        <v>70</v>
      </c>
      <c r="G44" s="2">
        <v>11578</v>
      </c>
      <c r="H44" s="22">
        <v>188842523</v>
      </c>
      <c r="I44" s="2">
        <v>113</v>
      </c>
      <c r="J44" s="2">
        <v>66</v>
      </c>
      <c r="K44" s="2">
        <v>9576</v>
      </c>
      <c r="L44" s="22">
        <v>166395602</v>
      </c>
    </row>
    <row r="45" spans="1:12" x14ac:dyDescent="0.25">
      <c r="A45" t="s">
        <v>78</v>
      </c>
      <c r="B45" t="s">
        <v>76</v>
      </c>
      <c r="C45" t="s">
        <v>40</v>
      </c>
      <c r="D45" t="s">
        <v>77</v>
      </c>
      <c r="E45" s="2">
        <v>550</v>
      </c>
      <c r="F45" s="2">
        <v>93</v>
      </c>
      <c r="G45" s="2">
        <v>10598</v>
      </c>
      <c r="H45" s="22">
        <v>102327722</v>
      </c>
      <c r="I45" s="2">
        <v>149</v>
      </c>
      <c r="J45" s="2">
        <v>70</v>
      </c>
      <c r="K45" s="2">
        <v>7046</v>
      </c>
      <c r="L45" s="22">
        <v>47660010</v>
      </c>
    </row>
    <row r="46" spans="1:12" x14ac:dyDescent="0.25">
      <c r="A46" t="s">
        <v>79</v>
      </c>
      <c r="B46" t="s">
        <v>76</v>
      </c>
      <c r="C46" t="s">
        <v>40</v>
      </c>
      <c r="D46" t="s">
        <v>80</v>
      </c>
      <c r="E46" s="2">
        <v>321</v>
      </c>
      <c r="F46" s="2">
        <v>74</v>
      </c>
      <c r="G46" s="2">
        <v>15327</v>
      </c>
      <c r="H46" s="22">
        <v>213186730</v>
      </c>
      <c r="I46" s="2">
        <v>118</v>
      </c>
      <c r="J46" s="2">
        <v>72</v>
      </c>
      <c r="K46" s="2">
        <v>9756</v>
      </c>
      <c r="L46" s="22">
        <v>102793516</v>
      </c>
    </row>
    <row r="47" spans="1:12" x14ac:dyDescent="0.25">
      <c r="A47" t="s">
        <v>81</v>
      </c>
      <c r="B47" t="s">
        <v>76</v>
      </c>
      <c r="C47" t="s">
        <v>40</v>
      </c>
      <c r="D47" t="s">
        <v>80</v>
      </c>
      <c r="E47" s="2">
        <v>0</v>
      </c>
      <c r="F47" s="2">
        <v>0</v>
      </c>
      <c r="G47" s="2">
        <v>0</v>
      </c>
      <c r="H47" s="22">
        <v>0</v>
      </c>
      <c r="I47" s="2">
        <v>0</v>
      </c>
      <c r="J47" s="2">
        <v>0</v>
      </c>
      <c r="K47" s="2">
        <v>0</v>
      </c>
      <c r="L47" s="22">
        <v>0</v>
      </c>
    </row>
    <row r="48" spans="1:12" x14ac:dyDescent="0.25">
      <c r="A48" t="s">
        <v>82</v>
      </c>
      <c r="B48" t="s">
        <v>76</v>
      </c>
      <c r="C48" t="s">
        <v>40</v>
      </c>
      <c r="D48" t="s">
        <v>83</v>
      </c>
      <c r="E48" s="2">
        <v>239</v>
      </c>
      <c r="F48" s="2">
        <v>27</v>
      </c>
      <c r="G48" s="2">
        <v>3523</v>
      </c>
      <c r="H48" s="22">
        <v>32669360</v>
      </c>
      <c r="I48" s="2">
        <v>59</v>
      </c>
      <c r="J48" s="2">
        <v>21</v>
      </c>
      <c r="K48" s="2">
        <v>1977</v>
      </c>
      <c r="L48" s="22">
        <v>21091331</v>
      </c>
    </row>
    <row r="49" spans="1:12" x14ac:dyDescent="0.25">
      <c r="A49" t="s">
        <v>84</v>
      </c>
      <c r="B49" t="s">
        <v>85</v>
      </c>
      <c r="C49" t="s">
        <v>40</v>
      </c>
      <c r="D49" t="s">
        <v>86</v>
      </c>
      <c r="E49" s="2">
        <v>0</v>
      </c>
      <c r="F49" s="2">
        <v>0</v>
      </c>
      <c r="G49" s="2">
        <v>0</v>
      </c>
      <c r="H49" s="22">
        <v>0</v>
      </c>
      <c r="I49" s="2">
        <v>0</v>
      </c>
      <c r="J49" s="2">
        <v>0</v>
      </c>
      <c r="K49" s="2">
        <v>0</v>
      </c>
      <c r="L49" s="22">
        <v>0</v>
      </c>
    </row>
    <row r="50" spans="1:12" x14ac:dyDescent="0.25">
      <c r="A50" t="s">
        <v>87</v>
      </c>
      <c r="B50" t="s">
        <v>85</v>
      </c>
      <c r="C50" t="s">
        <v>40</v>
      </c>
      <c r="D50" t="s">
        <v>88</v>
      </c>
      <c r="E50" s="2">
        <v>327</v>
      </c>
      <c r="F50" s="2">
        <v>75</v>
      </c>
      <c r="G50" s="2">
        <v>12870</v>
      </c>
      <c r="H50" s="22">
        <v>179756515</v>
      </c>
      <c r="I50" s="2">
        <v>95</v>
      </c>
      <c r="J50" s="2">
        <v>64</v>
      </c>
      <c r="K50" s="2">
        <v>6645</v>
      </c>
      <c r="L50" s="22">
        <v>75161974</v>
      </c>
    </row>
    <row r="51" spans="1:12" x14ac:dyDescent="0.25">
      <c r="A51" t="s">
        <v>89</v>
      </c>
      <c r="B51" t="s">
        <v>90</v>
      </c>
      <c r="C51" t="s">
        <v>91</v>
      </c>
      <c r="D51" t="s">
        <v>92</v>
      </c>
      <c r="E51" s="2">
        <v>310</v>
      </c>
      <c r="F51" s="2">
        <v>98</v>
      </c>
      <c r="G51" s="2">
        <v>16872</v>
      </c>
      <c r="H51" s="22">
        <v>237811504</v>
      </c>
      <c r="I51" s="2">
        <v>145</v>
      </c>
      <c r="J51" s="2">
        <v>114</v>
      </c>
      <c r="K51" s="2">
        <v>11880</v>
      </c>
      <c r="L51" s="22">
        <v>126798382</v>
      </c>
    </row>
    <row r="52" spans="1:12" x14ac:dyDescent="0.25">
      <c r="A52" t="s">
        <v>93</v>
      </c>
      <c r="B52" t="s">
        <v>90</v>
      </c>
      <c r="C52" t="s">
        <v>91</v>
      </c>
      <c r="D52" t="s">
        <v>92</v>
      </c>
      <c r="E52" s="2">
        <v>519</v>
      </c>
      <c r="F52" s="2">
        <v>155</v>
      </c>
      <c r="G52" s="2">
        <v>28623</v>
      </c>
      <c r="H52" s="22">
        <v>359990196</v>
      </c>
      <c r="I52" s="2">
        <v>216</v>
      </c>
      <c r="J52" s="2">
        <v>135</v>
      </c>
      <c r="K52" s="2">
        <v>17724</v>
      </c>
      <c r="L52" s="22">
        <v>172890567</v>
      </c>
    </row>
    <row r="53" spans="1:12" x14ac:dyDescent="0.25">
      <c r="A53" t="s">
        <v>94</v>
      </c>
      <c r="B53" t="s">
        <v>95</v>
      </c>
      <c r="C53" t="s">
        <v>91</v>
      </c>
      <c r="D53" t="s">
        <v>92</v>
      </c>
      <c r="E53" s="2">
        <v>202</v>
      </c>
      <c r="F53" s="2">
        <v>63</v>
      </c>
      <c r="G53" s="2">
        <v>10276</v>
      </c>
      <c r="H53" s="22">
        <v>112808928</v>
      </c>
      <c r="I53" s="2">
        <v>91</v>
      </c>
      <c r="J53" s="2">
        <v>53</v>
      </c>
      <c r="K53" s="2">
        <v>7070</v>
      </c>
      <c r="L53" s="22">
        <v>52239360</v>
      </c>
    </row>
    <row r="54" spans="1:12" x14ac:dyDescent="0.25">
      <c r="A54" t="s">
        <v>96</v>
      </c>
      <c r="B54" t="s">
        <v>95</v>
      </c>
      <c r="C54" t="s">
        <v>91</v>
      </c>
      <c r="D54" t="s">
        <v>92</v>
      </c>
      <c r="E54" s="2">
        <v>203</v>
      </c>
      <c r="F54" s="2">
        <v>57</v>
      </c>
      <c r="G54" s="2">
        <v>10024</v>
      </c>
      <c r="H54" s="22">
        <v>112591091</v>
      </c>
      <c r="I54" s="2">
        <v>82</v>
      </c>
      <c r="J54" s="2">
        <v>65</v>
      </c>
      <c r="K54" s="2">
        <v>6075</v>
      </c>
      <c r="L54" s="22">
        <v>52452553</v>
      </c>
    </row>
    <row r="55" spans="1:12" x14ac:dyDescent="0.25">
      <c r="A55" t="s">
        <v>97</v>
      </c>
      <c r="B55" t="s">
        <v>95</v>
      </c>
      <c r="C55" t="s">
        <v>91</v>
      </c>
      <c r="D55" t="s">
        <v>92</v>
      </c>
      <c r="E55" s="2">
        <v>351</v>
      </c>
      <c r="F55" s="2">
        <v>88</v>
      </c>
      <c r="G55" s="2">
        <v>14193</v>
      </c>
      <c r="H55" s="22">
        <v>195442313</v>
      </c>
      <c r="I55" s="2">
        <v>129</v>
      </c>
      <c r="J55" s="2">
        <v>90</v>
      </c>
      <c r="K55" s="2">
        <v>9865</v>
      </c>
      <c r="L55" s="22">
        <v>104433088</v>
      </c>
    </row>
    <row r="56" spans="1:12" x14ac:dyDescent="0.25">
      <c r="A56" t="s">
        <v>98</v>
      </c>
      <c r="B56" t="s">
        <v>95</v>
      </c>
      <c r="C56" t="s">
        <v>91</v>
      </c>
      <c r="D56" t="s">
        <v>92</v>
      </c>
      <c r="E56" s="2">
        <v>0</v>
      </c>
      <c r="F56" s="2">
        <v>0</v>
      </c>
      <c r="G56" s="2">
        <v>0</v>
      </c>
      <c r="H56" s="22">
        <v>0</v>
      </c>
      <c r="I56" s="2">
        <v>10</v>
      </c>
      <c r="J56" s="2">
        <v>9</v>
      </c>
      <c r="K56" s="2">
        <v>0</v>
      </c>
      <c r="L56" s="22">
        <v>0</v>
      </c>
    </row>
    <row r="57" spans="1:12" x14ac:dyDescent="0.25">
      <c r="A57" t="s">
        <v>99</v>
      </c>
      <c r="B57" t="s">
        <v>95</v>
      </c>
      <c r="C57" t="s">
        <v>91</v>
      </c>
      <c r="D57" t="s">
        <v>92</v>
      </c>
      <c r="E57" s="2">
        <v>9</v>
      </c>
      <c r="F57" s="2">
        <v>4</v>
      </c>
      <c r="G57" s="2">
        <v>523</v>
      </c>
      <c r="H57" s="22">
        <v>5361931</v>
      </c>
      <c r="I57" s="2">
        <v>18</v>
      </c>
      <c r="J57" s="2">
        <v>17</v>
      </c>
      <c r="K57" s="2">
        <v>335</v>
      </c>
      <c r="L57" s="22">
        <v>2564620</v>
      </c>
    </row>
    <row r="58" spans="1:12" x14ac:dyDescent="0.25">
      <c r="A58" t="s">
        <v>100</v>
      </c>
      <c r="B58" t="s">
        <v>90</v>
      </c>
      <c r="C58" t="s">
        <v>91</v>
      </c>
      <c r="D58" t="s">
        <v>92</v>
      </c>
      <c r="E58" s="2">
        <v>7</v>
      </c>
      <c r="F58" s="2">
        <v>7</v>
      </c>
      <c r="G58" s="2">
        <v>551</v>
      </c>
      <c r="H58" s="22">
        <v>12249890</v>
      </c>
      <c r="I58" s="2">
        <v>45</v>
      </c>
      <c r="J58" s="2">
        <v>44</v>
      </c>
      <c r="K58" s="2">
        <v>284</v>
      </c>
      <c r="L58" s="22">
        <v>5923500</v>
      </c>
    </row>
    <row r="59" spans="1:12" x14ac:dyDescent="0.25">
      <c r="A59" t="s">
        <v>101</v>
      </c>
      <c r="B59" t="s">
        <v>90</v>
      </c>
      <c r="C59" t="s">
        <v>91</v>
      </c>
      <c r="D59" t="s">
        <v>92</v>
      </c>
      <c r="E59" s="2">
        <v>3</v>
      </c>
      <c r="F59" s="2">
        <v>0</v>
      </c>
      <c r="G59" s="2">
        <v>0</v>
      </c>
      <c r="H59" s="22">
        <v>0</v>
      </c>
      <c r="I59" s="2">
        <v>4</v>
      </c>
      <c r="J59" s="2">
        <v>3</v>
      </c>
      <c r="K59" s="2">
        <v>0</v>
      </c>
      <c r="L59" s="22">
        <v>0</v>
      </c>
    </row>
    <row r="60" spans="1:12" x14ac:dyDescent="0.25">
      <c r="A60" t="s">
        <v>102</v>
      </c>
      <c r="B60" t="s">
        <v>90</v>
      </c>
      <c r="C60" t="s">
        <v>91</v>
      </c>
      <c r="D60" t="s">
        <v>92</v>
      </c>
      <c r="E60" s="2">
        <v>461</v>
      </c>
      <c r="F60" s="2">
        <v>128</v>
      </c>
      <c r="G60" s="2">
        <v>15395</v>
      </c>
      <c r="H60" s="22">
        <v>206033166</v>
      </c>
      <c r="I60" s="2">
        <v>173</v>
      </c>
      <c r="J60" s="2">
        <v>127</v>
      </c>
      <c r="K60" s="2">
        <v>9902</v>
      </c>
      <c r="L60" s="22">
        <v>104597000</v>
      </c>
    </row>
    <row r="61" spans="1:12" x14ac:dyDescent="0.25">
      <c r="A61" t="s">
        <v>103</v>
      </c>
      <c r="B61" t="s">
        <v>90</v>
      </c>
      <c r="C61" t="s">
        <v>91</v>
      </c>
      <c r="D61" t="s">
        <v>92</v>
      </c>
      <c r="E61" s="2">
        <v>679</v>
      </c>
      <c r="F61" s="2">
        <v>122</v>
      </c>
      <c r="G61" s="2">
        <v>12184</v>
      </c>
      <c r="H61" s="22">
        <v>200360153</v>
      </c>
      <c r="I61" s="2">
        <v>167</v>
      </c>
      <c r="J61" s="2">
        <v>105</v>
      </c>
      <c r="K61" s="2">
        <v>7466</v>
      </c>
      <c r="L61" s="22">
        <v>81439701</v>
      </c>
    </row>
    <row r="62" spans="1:12" x14ac:dyDescent="0.25">
      <c r="A62" t="s">
        <v>104</v>
      </c>
      <c r="B62" t="s">
        <v>105</v>
      </c>
      <c r="C62" t="s">
        <v>91</v>
      </c>
      <c r="D62" t="s">
        <v>106</v>
      </c>
      <c r="E62" s="2">
        <v>291</v>
      </c>
      <c r="F62" s="2">
        <v>84</v>
      </c>
      <c r="G62" s="2">
        <v>8212</v>
      </c>
      <c r="H62" s="22">
        <v>101040530</v>
      </c>
      <c r="I62" s="2">
        <v>135</v>
      </c>
      <c r="J62" s="2">
        <v>72</v>
      </c>
      <c r="K62" s="2">
        <v>4854</v>
      </c>
      <c r="L62" s="22">
        <v>43117286</v>
      </c>
    </row>
    <row r="63" spans="1:12" x14ac:dyDescent="0.25">
      <c r="A63" t="s">
        <v>107</v>
      </c>
      <c r="B63" t="s">
        <v>105</v>
      </c>
      <c r="C63" t="s">
        <v>91</v>
      </c>
      <c r="D63" t="s">
        <v>106</v>
      </c>
      <c r="E63" s="2">
        <v>384</v>
      </c>
      <c r="F63" s="2">
        <v>96</v>
      </c>
      <c r="G63" s="2">
        <v>10877</v>
      </c>
      <c r="H63" s="22">
        <v>139403592</v>
      </c>
      <c r="I63" s="2">
        <v>148</v>
      </c>
      <c r="J63" s="2">
        <v>101</v>
      </c>
      <c r="K63" s="2">
        <v>7803</v>
      </c>
      <c r="L63" s="22">
        <v>69188837</v>
      </c>
    </row>
    <row r="64" spans="1:12" x14ac:dyDescent="0.25">
      <c r="A64" t="s">
        <v>108</v>
      </c>
      <c r="B64" t="s">
        <v>105</v>
      </c>
      <c r="C64" t="s">
        <v>91</v>
      </c>
      <c r="D64" t="s">
        <v>106</v>
      </c>
      <c r="E64" s="2">
        <v>811</v>
      </c>
      <c r="F64" s="2">
        <v>239</v>
      </c>
      <c r="G64" s="2">
        <v>15833</v>
      </c>
      <c r="H64" s="22">
        <v>284097907</v>
      </c>
      <c r="I64" s="2">
        <v>222</v>
      </c>
      <c r="J64" s="2">
        <v>120</v>
      </c>
      <c r="K64" s="2">
        <v>8003</v>
      </c>
      <c r="L64" s="22">
        <v>113622829</v>
      </c>
    </row>
    <row r="65" spans="1:12" x14ac:dyDescent="0.25">
      <c r="A65" t="s">
        <v>109</v>
      </c>
      <c r="B65" t="s">
        <v>90</v>
      </c>
      <c r="C65" t="s">
        <v>91</v>
      </c>
      <c r="D65" t="s">
        <v>110</v>
      </c>
      <c r="E65" s="2">
        <v>475</v>
      </c>
      <c r="F65" s="2">
        <v>102</v>
      </c>
      <c r="G65" s="2">
        <v>6052</v>
      </c>
      <c r="H65" s="22">
        <v>48601239</v>
      </c>
      <c r="I65" s="2">
        <v>125</v>
      </c>
      <c r="J65" s="2">
        <v>54</v>
      </c>
      <c r="K65" s="2">
        <v>2451</v>
      </c>
      <c r="L65" s="22">
        <v>21257555</v>
      </c>
    </row>
    <row r="66" spans="1:12" x14ac:dyDescent="0.25">
      <c r="A66" t="s">
        <v>111</v>
      </c>
      <c r="B66" t="s">
        <v>90</v>
      </c>
      <c r="C66" t="s">
        <v>91</v>
      </c>
      <c r="D66" t="s">
        <v>112</v>
      </c>
      <c r="E66" s="2">
        <v>117</v>
      </c>
      <c r="F66" s="2">
        <v>18</v>
      </c>
      <c r="G66" s="2">
        <v>4000</v>
      </c>
      <c r="H66" s="22">
        <v>54364020</v>
      </c>
      <c r="I66" s="2">
        <v>36</v>
      </c>
      <c r="J66" s="2">
        <v>23</v>
      </c>
      <c r="K66" s="2">
        <v>1921</v>
      </c>
      <c r="L66" s="22">
        <v>27007026</v>
      </c>
    </row>
    <row r="67" spans="1:12" x14ac:dyDescent="0.25">
      <c r="A67" t="s">
        <v>113</v>
      </c>
      <c r="B67" t="s">
        <v>105</v>
      </c>
      <c r="C67" t="s">
        <v>91</v>
      </c>
      <c r="D67" t="s">
        <v>114</v>
      </c>
      <c r="E67" s="2">
        <v>513</v>
      </c>
      <c r="F67" s="2">
        <v>195</v>
      </c>
      <c r="G67" s="2">
        <v>14566</v>
      </c>
      <c r="H67" s="22">
        <v>188399252</v>
      </c>
      <c r="I67" s="2">
        <v>153</v>
      </c>
      <c r="J67" s="2">
        <v>88</v>
      </c>
      <c r="K67" s="2">
        <v>5796</v>
      </c>
      <c r="L67" s="22">
        <v>76985540</v>
      </c>
    </row>
    <row r="68" spans="1:12" x14ac:dyDescent="0.25">
      <c r="A68" t="s">
        <v>115</v>
      </c>
      <c r="B68" t="s">
        <v>116</v>
      </c>
      <c r="C68" t="s">
        <v>117</v>
      </c>
      <c r="D68" t="s">
        <v>118</v>
      </c>
      <c r="E68" s="2">
        <v>230</v>
      </c>
      <c r="F68" s="2">
        <v>47</v>
      </c>
      <c r="G68" s="2">
        <v>5623</v>
      </c>
      <c r="H68" s="22">
        <v>74268125</v>
      </c>
      <c r="I68" s="2">
        <v>62</v>
      </c>
      <c r="J68" s="2">
        <v>32</v>
      </c>
      <c r="K68" s="2">
        <v>3104</v>
      </c>
      <c r="L68" s="22">
        <v>29500066</v>
      </c>
    </row>
    <row r="69" spans="1:12" x14ac:dyDescent="0.25">
      <c r="A69" t="s">
        <v>119</v>
      </c>
      <c r="B69" t="s">
        <v>120</v>
      </c>
      <c r="C69" t="s">
        <v>117</v>
      </c>
      <c r="D69" t="s">
        <v>121</v>
      </c>
      <c r="E69" s="2">
        <v>4</v>
      </c>
      <c r="F69" s="2">
        <v>3</v>
      </c>
      <c r="G69" s="2">
        <v>92</v>
      </c>
      <c r="H69" s="22">
        <v>255451</v>
      </c>
      <c r="I69" s="2">
        <v>1</v>
      </c>
      <c r="J69" s="2">
        <v>1</v>
      </c>
      <c r="K69" s="2">
        <v>37</v>
      </c>
      <c r="L69" s="22">
        <v>105800</v>
      </c>
    </row>
    <row r="70" spans="1:12" x14ac:dyDescent="0.25">
      <c r="A70" t="s">
        <v>122</v>
      </c>
      <c r="B70" t="s">
        <v>116</v>
      </c>
      <c r="C70" t="s">
        <v>117</v>
      </c>
      <c r="D70" t="s">
        <v>121</v>
      </c>
      <c r="E70" s="2">
        <v>1</v>
      </c>
      <c r="F70" s="2">
        <v>0</v>
      </c>
      <c r="G70" s="2">
        <v>0</v>
      </c>
      <c r="H70" s="22">
        <v>0</v>
      </c>
      <c r="I70" s="2">
        <v>11</v>
      </c>
      <c r="J70" s="2">
        <v>11</v>
      </c>
      <c r="K70" s="2">
        <v>0</v>
      </c>
      <c r="L70" s="22">
        <v>0</v>
      </c>
    </row>
    <row r="71" spans="1:12" x14ac:dyDescent="0.25">
      <c r="A71" t="s">
        <v>123</v>
      </c>
      <c r="B71" t="s">
        <v>116</v>
      </c>
      <c r="C71" t="s">
        <v>117</v>
      </c>
      <c r="D71" t="s">
        <v>121</v>
      </c>
      <c r="E71" s="2">
        <v>0</v>
      </c>
      <c r="F71" s="2">
        <v>0</v>
      </c>
      <c r="G71" s="2">
        <v>0</v>
      </c>
      <c r="H71" s="22">
        <v>0</v>
      </c>
      <c r="I71" s="2">
        <v>0</v>
      </c>
      <c r="J71" s="2">
        <v>0</v>
      </c>
      <c r="K71" s="2">
        <v>0</v>
      </c>
      <c r="L71" s="22">
        <v>0</v>
      </c>
    </row>
    <row r="72" spans="1:12" x14ac:dyDescent="0.25">
      <c r="A72" t="s">
        <v>124</v>
      </c>
      <c r="B72" t="s">
        <v>116</v>
      </c>
      <c r="C72" t="s">
        <v>117</v>
      </c>
      <c r="D72" t="s">
        <v>121</v>
      </c>
      <c r="E72" s="2">
        <v>360</v>
      </c>
      <c r="F72" s="2">
        <v>74</v>
      </c>
      <c r="G72" s="2">
        <v>4890</v>
      </c>
      <c r="H72" s="22">
        <v>72530348</v>
      </c>
      <c r="I72" s="2">
        <v>111</v>
      </c>
      <c r="J72" s="2">
        <v>44</v>
      </c>
      <c r="K72" s="2">
        <v>1896</v>
      </c>
      <c r="L72" s="22">
        <v>30674145</v>
      </c>
    </row>
    <row r="73" spans="1:12" x14ac:dyDescent="0.25">
      <c r="A73" t="s">
        <v>125</v>
      </c>
      <c r="B73" t="s">
        <v>116</v>
      </c>
      <c r="C73" t="s">
        <v>117</v>
      </c>
      <c r="D73" t="s">
        <v>121</v>
      </c>
      <c r="E73" s="2">
        <v>460</v>
      </c>
      <c r="F73" s="2">
        <v>92</v>
      </c>
      <c r="G73" s="2">
        <v>5819</v>
      </c>
      <c r="H73" s="22">
        <v>61542518</v>
      </c>
      <c r="I73" s="2">
        <v>85</v>
      </c>
      <c r="J73" s="2">
        <v>37</v>
      </c>
      <c r="K73" s="2">
        <v>2212</v>
      </c>
      <c r="L73" s="22">
        <v>27551190</v>
      </c>
    </row>
    <row r="74" spans="1:12" x14ac:dyDescent="0.25">
      <c r="A74" t="s">
        <v>126</v>
      </c>
      <c r="B74" t="s">
        <v>120</v>
      </c>
      <c r="C74" t="s">
        <v>117</v>
      </c>
      <c r="D74" t="s">
        <v>121</v>
      </c>
      <c r="E74" s="2">
        <v>147</v>
      </c>
      <c r="F74" s="2">
        <v>25</v>
      </c>
      <c r="G74" s="2">
        <v>4418</v>
      </c>
      <c r="H74" s="22">
        <v>22762191</v>
      </c>
      <c r="I74" s="2">
        <v>30</v>
      </c>
      <c r="J74" s="2">
        <v>19</v>
      </c>
      <c r="K74" s="2">
        <v>1084</v>
      </c>
      <c r="L74" s="22">
        <v>11060068</v>
      </c>
    </row>
    <row r="75" spans="1:12" x14ac:dyDescent="0.25">
      <c r="A75" t="s">
        <v>127</v>
      </c>
      <c r="B75" t="s">
        <v>120</v>
      </c>
      <c r="C75" t="s">
        <v>117</v>
      </c>
      <c r="D75" t="s">
        <v>121</v>
      </c>
      <c r="E75" s="2">
        <v>3</v>
      </c>
      <c r="F75" s="2">
        <v>1</v>
      </c>
      <c r="G75" s="2">
        <v>15</v>
      </c>
      <c r="H75" s="22">
        <v>153210</v>
      </c>
      <c r="I75" s="2">
        <v>6</v>
      </c>
      <c r="J75" s="2">
        <v>6</v>
      </c>
      <c r="K75" s="2">
        <v>12</v>
      </c>
      <c r="L75" s="22">
        <v>77710</v>
      </c>
    </row>
    <row r="76" spans="1:12" x14ac:dyDescent="0.25">
      <c r="A76" t="s">
        <v>128</v>
      </c>
      <c r="B76" t="s">
        <v>129</v>
      </c>
      <c r="C76" t="s">
        <v>40</v>
      </c>
      <c r="D76" t="s">
        <v>130</v>
      </c>
      <c r="E76" s="2">
        <v>161</v>
      </c>
      <c r="F76" s="2">
        <v>50</v>
      </c>
      <c r="G76" s="2">
        <v>4097</v>
      </c>
      <c r="H76" s="22">
        <v>81757839</v>
      </c>
      <c r="I76" s="2">
        <v>69</v>
      </c>
      <c r="J76" s="2">
        <v>30</v>
      </c>
      <c r="K76" s="2">
        <v>2167</v>
      </c>
      <c r="L76" s="22">
        <v>35734156</v>
      </c>
    </row>
    <row r="77" spans="1:12" x14ac:dyDescent="0.25">
      <c r="A77" t="s">
        <v>131</v>
      </c>
      <c r="B77" t="s">
        <v>129</v>
      </c>
      <c r="C77" t="s">
        <v>40</v>
      </c>
      <c r="D77" t="s">
        <v>132</v>
      </c>
      <c r="E77" s="2">
        <v>94</v>
      </c>
      <c r="F77" s="2">
        <v>26</v>
      </c>
      <c r="G77" s="2">
        <v>5693</v>
      </c>
      <c r="H77" s="22">
        <v>34317827</v>
      </c>
      <c r="I77" s="2">
        <v>43</v>
      </c>
      <c r="J77" s="2">
        <v>26</v>
      </c>
      <c r="K77" s="2">
        <v>2453</v>
      </c>
      <c r="L77" s="22">
        <v>17789967</v>
      </c>
    </row>
    <row r="78" spans="1:12" x14ac:dyDescent="0.25">
      <c r="A78" t="s">
        <v>133</v>
      </c>
      <c r="B78" t="s">
        <v>129</v>
      </c>
      <c r="C78" t="s">
        <v>40</v>
      </c>
      <c r="D78" t="s">
        <v>56</v>
      </c>
      <c r="E78" s="2">
        <v>0</v>
      </c>
      <c r="F78" s="2">
        <v>0</v>
      </c>
      <c r="G78" s="2">
        <v>0</v>
      </c>
      <c r="H78" s="22">
        <v>0</v>
      </c>
      <c r="I78" s="2">
        <v>0</v>
      </c>
      <c r="J78" s="2">
        <v>0</v>
      </c>
      <c r="K78" s="2">
        <v>0</v>
      </c>
      <c r="L78" s="22">
        <v>0</v>
      </c>
    </row>
    <row r="79" spans="1:12" x14ac:dyDescent="0.25">
      <c r="A79" t="s">
        <v>134</v>
      </c>
      <c r="B79" t="s">
        <v>129</v>
      </c>
      <c r="C79" t="s">
        <v>40</v>
      </c>
      <c r="D79" t="s">
        <v>56</v>
      </c>
      <c r="E79" s="2">
        <v>0</v>
      </c>
      <c r="F79" s="2">
        <v>0</v>
      </c>
      <c r="G79" s="2">
        <v>0</v>
      </c>
      <c r="H79" s="22">
        <v>0</v>
      </c>
      <c r="I79" s="2">
        <v>0</v>
      </c>
      <c r="J79" s="2">
        <v>0</v>
      </c>
      <c r="K79" s="2">
        <v>0</v>
      </c>
      <c r="L79" s="22">
        <v>0</v>
      </c>
    </row>
    <row r="80" spans="1:12" x14ac:dyDescent="0.25">
      <c r="A80" t="s">
        <v>135</v>
      </c>
      <c r="B80" t="s">
        <v>129</v>
      </c>
      <c r="C80" t="s">
        <v>40</v>
      </c>
      <c r="D80" t="s">
        <v>136</v>
      </c>
      <c r="E80" s="2">
        <v>153</v>
      </c>
      <c r="F80" s="2">
        <v>40</v>
      </c>
      <c r="G80" s="2">
        <v>1480</v>
      </c>
      <c r="H80" s="22">
        <v>28159398</v>
      </c>
      <c r="I80" s="2">
        <v>53</v>
      </c>
      <c r="J80" s="2">
        <v>22</v>
      </c>
      <c r="K80" s="2">
        <v>809</v>
      </c>
      <c r="L80" s="22">
        <v>13975740</v>
      </c>
    </row>
    <row r="81" spans="1:12" x14ac:dyDescent="0.25">
      <c r="A81" t="s">
        <v>137</v>
      </c>
      <c r="B81" t="s">
        <v>129</v>
      </c>
      <c r="C81" t="s">
        <v>40</v>
      </c>
      <c r="D81" t="s">
        <v>138</v>
      </c>
      <c r="E81" s="2">
        <v>97</v>
      </c>
      <c r="F81" s="2">
        <v>22</v>
      </c>
      <c r="G81" s="2">
        <v>420</v>
      </c>
      <c r="H81" s="22">
        <v>6029563</v>
      </c>
      <c r="I81" s="2">
        <v>34</v>
      </c>
      <c r="J81" s="2">
        <v>11</v>
      </c>
      <c r="K81" s="2">
        <v>235</v>
      </c>
      <c r="L81" s="22">
        <v>2213570</v>
      </c>
    </row>
    <row r="82" spans="1:12" x14ac:dyDescent="0.25">
      <c r="A82" t="s">
        <v>139</v>
      </c>
      <c r="B82" t="s">
        <v>129</v>
      </c>
      <c r="C82" t="s">
        <v>40</v>
      </c>
      <c r="D82" t="s">
        <v>140</v>
      </c>
      <c r="E82" s="2">
        <v>89</v>
      </c>
      <c r="F82" s="2">
        <v>16</v>
      </c>
      <c r="G82" s="2">
        <v>2112</v>
      </c>
      <c r="H82" s="22">
        <v>30126008</v>
      </c>
      <c r="I82" s="2">
        <v>24</v>
      </c>
      <c r="J82" s="2">
        <v>11</v>
      </c>
      <c r="K82" s="2">
        <v>1273</v>
      </c>
      <c r="L82" s="22">
        <v>14709100</v>
      </c>
    </row>
    <row r="83" spans="1:12" x14ac:dyDescent="0.25">
      <c r="A83" t="s">
        <v>141</v>
      </c>
      <c r="B83" t="s">
        <v>8</v>
      </c>
      <c r="C83" t="s">
        <v>9</v>
      </c>
      <c r="D83" t="s">
        <v>140</v>
      </c>
      <c r="E83" s="2">
        <v>319</v>
      </c>
      <c r="F83" s="2">
        <v>68</v>
      </c>
      <c r="G83" s="2">
        <v>5170</v>
      </c>
      <c r="H83" s="22">
        <v>68711030</v>
      </c>
      <c r="I83" s="2">
        <v>80</v>
      </c>
      <c r="J83" s="2">
        <v>37</v>
      </c>
      <c r="K83" s="2">
        <v>1603</v>
      </c>
      <c r="L83" s="22">
        <v>14369133</v>
      </c>
    </row>
    <row r="84" spans="1:12" x14ac:dyDescent="0.25">
      <c r="A84" t="s">
        <v>142</v>
      </c>
      <c r="B84" t="s">
        <v>8</v>
      </c>
      <c r="C84" t="s">
        <v>9</v>
      </c>
      <c r="D84" t="s">
        <v>140</v>
      </c>
      <c r="E84" s="2">
        <v>10</v>
      </c>
      <c r="F84" s="2">
        <v>3</v>
      </c>
      <c r="G84" s="2">
        <v>107</v>
      </c>
      <c r="H84" s="22">
        <v>1530650</v>
      </c>
      <c r="I84" s="2">
        <v>4</v>
      </c>
      <c r="J84" s="2">
        <v>1</v>
      </c>
      <c r="K84" s="2">
        <v>105</v>
      </c>
      <c r="L84" s="22">
        <v>707550</v>
      </c>
    </row>
    <row r="85" spans="1:12" x14ac:dyDescent="0.25">
      <c r="A85" t="s">
        <v>143</v>
      </c>
      <c r="B85" t="s">
        <v>16</v>
      </c>
      <c r="C85" t="s">
        <v>9</v>
      </c>
      <c r="D85" t="s">
        <v>140</v>
      </c>
      <c r="E85" s="2">
        <v>713</v>
      </c>
      <c r="F85" s="2">
        <v>229</v>
      </c>
      <c r="G85" s="2">
        <v>35069</v>
      </c>
      <c r="H85" s="22">
        <v>401811823</v>
      </c>
      <c r="I85" s="2">
        <v>304</v>
      </c>
      <c r="J85" s="2">
        <v>156</v>
      </c>
      <c r="K85" s="2">
        <v>20425</v>
      </c>
      <c r="L85" s="22">
        <v>193446880</v>
      </c>
    </row>
    <row r="86" spans="1:12" x14ac:dyDescent="0.25">
      <c r="A86" t="s">
        <v>144</v>
      </c>
      <c r="B86" t="s">
        <v>52</v>
      </c>
      <c r="C86" t="s">
        <v>40</v>
      </c>
      <c r="D86" t="s">
        <v>140</v>
      </c>
      <c r="E86" s="2">
        <v>117</v>
      </c>
      <c r="F86" s="2">
        <v>33</v>
      </c>
      <c r="G86" s="2">
        <v>6711</v>
      </c>
      <c r="H86" s="22">
        <v>67952515</v>
      </c>
      <c r="I86" s="2">
        <v>67</v>
      </c>
      <c r="J86" s="2">
        <v>36</v>
      </c>
      <c r="K86" s="2">
        <v>4581</v>
      </c>
      <c r="L86" s="22">
        <v>36244426</v>
      </c>
    </row>
    <row r="87" spans="1:12" x14ac:dyDescent="0.25">
      <c r="A87" t="s">
        <v>145</v>
      </c>
      <c r="B87" t="s">
        <v>52</v>
      </c>
      <c r="C87" t="s">
        <v>40</v>
      </c>
      <c r="D87" t="s">
        <v>140</v>
      </c>
      <c r="E87" s="2">
        <v>0</v>
      </c>
      <c r="F87" s="2">
        <v>0</v>
      </c>
      <c r="G87" s="2">
        <v>0</v>
      </c>
      <c r="H87" s="22">
        <v>0</v>
      </c>
      <c r="I87" s="2">
        <v>3</v>
      </c>
      <c r="J87" s="2">
        <v>3</v>
      </c>
      <c r="K87" s="2">
        <v>0</v>
      </c>
      <c r="L87" s="22">
        <v>0</v>
      </c>
    </row>
    <row r="88" spans="1:12" x14ac:dyDescent="0.25">
      <c r="A88" t="s">
        <v>146</v>
      </c>
      <c r="B88" t="s">
        <v>76</v>
      </c>
      <c r="C88" t="s">
        <v>40</v>
      </c>
      <c r="D88" t="s">
        <v>77</v>
      </c>
      <c r="E88" s="2">
        <v>84</v>
      </c>
      <c r="F88" s="2">
        <v>3</v>
      </c>
      <c r="G88" s="2">
        <v>662</v>
      </c>
      <c r="H88" s="22">
        <v>5606660</v>
      </c>
      <c r="I88" s="2">
        <v>30</v>
      </c>
      <c r="J88" s="2">
        <v>20</v>
      </c>
      <c r="K88" s="2">
        <v>398</v>
      </c>
      <c r="L88" s="22">
        <v>2783550</v>
      </c>
    </row>
    <row r="89" spans="1:12" x14ac:dyDescent="0.25">
      <c r="A89" t="s">
        <v>147</v>
      </c>
      <c r="B89" t="s">
        <v>76</v>
      </c>
      <c r="C89" t="s">
        <v>40</v>
      </c>
      <c r="D89" t="s">
        <v>77</v>
      </c>
      <c r="E89" s="2">
        <v>160</v>
      </c>
      <c r="F89" s="2">
        <v>21</v>
      </c>
      <c r="G89" s="2">
        <v>3052</v>
      </c>
      <c r="H89" s="22">
        <v>41000053</v>
      </c>
      <c r="I89" s="2">
        <v>35</v>
      </c>
      <c r="J89" s="2">
        <v>24</v>
      </c>
      <c r="K89" s="2">
        <v>2053</v>
      </c>
      <c r="L89" s="22">
        <v>22537107</v>
      </c>
    </row>
    <row r="90" spans="1:12" x14ac:dyDescent="0.25">
      <c r="A90" t="s">
        <v>148</v>
      </c>
      <c r="B90" t="s">
        <v>8</v>
      </c>
      <c r="C90" t="s">
        <v>9</v>
      </c>
      <c r="D90" t="s">
        <v>10</v>
      </c>
      <c r="E90" s="2">
        <v>0</v>
      </c>
      <c r="F90" s="2">
        <v>0</v>
      </c>
      <c r="G90" s="2">
        <v>0</v>
      </c>
      <c r="H90" s="22">
        <v>0</v>
      </c>
      <c r="I90" s="2">
        <v>0</v>
      </c>
      <c r="J90" s="2">
        <v>0</v>
      </c>
      <c r="K90" s="2">
        <v>0</v>
      </c>
      <c r="L90" s="22">
        <v>0</v>
      </c>
    </row>
    <row r="91" spans="1:12" x14ac:dyDescent="0.25">
      <c r="A91" t="s">
        <v>149</v>
      </c>
      <c r="B91" t="s">
        <v>39</v>
      </c>
      <c r="C91" t="s">
        <v>40</v>
      </c>
      <c r="D91" t="s">
        <v>41</v>
      </c>
      <c r="E91" s="2">
        <v>299</v>
      </c>
      <c r="F91" s="2">
        <v>52</v>
      </c>
      <c r="G91" s="2">
        <v>3634</v>
      </c>
      <c r="H91" s="22">
        <v>41229998</v>
      </c>
      <c r="I91" s="2">
        <v>113</v>
      </c>
      <c r="J91" s="2">
        <v>40</v>
      </c>
      <c r="K91" s="2">
        <v>2293</v>
      </c>
      <c r="L91" s="22">
        <v>18521997</v>
      </c>
    </row>
    <row r="92" spans="1:12" x14ac:dyDescent="0.25">
      <c r="A92" t="s">
        <v>150</v>
      </c>
      <c r="B92" t="s">
        <v>39</v>
      </c>
      <c r="C92" t="s">
        <v>40</v>
      </c>
      <c r="D92" t="s">
        <v>41</v>
      </c>
      <c r="E92" s="2">
        <v>345</v>
      </c>
      <c r="F92" s="2">
        <v>34</v>
      </c>
      <c r="G92" s="2">
        <v>2557</v>
      </c>
      <c r="H92" s="22">
        <v>24714178</v>
      </c>
      <c r="I92" s="2">
        <v>71</v>
      </c>
      <c r="J92" s="2">
        <v>29</v>
      </c>
      <c r="K92" s="2">
        <v>1311</v>
      </c>
      <c r="L92" s="22">
        <v>14622560</v>
      </c>
    </row>
    <row r="93" spans="1:12" x14ac:dyDescent="0.25">
      <c r="A93" t="s">
        <v>151</v>
      </c>
      <c r="B93" t="s">
        <v>85</v>
      </c>
      <c r="C93" t="s">
        <v>40</v>
      </c>
      <c r="D93" t="s">
        <v>86</v>
      </c>
      <c r="E93" s="2">
        <v>375</v>
      </c>
      <c r="F93" s="2">
        <v>49</v>
      </c>
      <c r="G93" s="2">
        <v>5352</v>
      </c>
      <c r="H93" s="22">
        <v>93564623</v>
      </c>
      <c r="I93" s="2">
        <v>98</v>
      </c>
      <c r="J93" s="2">
        <v>45</v>
      </c>
      <c r="K93" s="2">
        <v>3105</v>
      </c>
      <c r="L93" s="22">
        <v>49449326</v>
      </c>
    </row>
    <row r="94" spans="1:12" x14ac:dyDescent="0.25">
      <c r="A94" t="s">
        <v>152</v>
      </c>
      <c r="B94" t="s">
        <v>85</v>
      </c>
      <c r="C94" t="s">
        <v>40</v>
      </c>
      <c r="D94" t="s">
        <v>88</v>
      </c>
      <c r="E94" s="2">
        <v>99</v>
      </c>
      <c r="F94" s="2">
        <v>18</v>
      </c>
      <c r="G94" s="2">
        <v>1422</v>
      </c>
      <c r="H94" s="22">
        <v>15334576</v>
      </c>
      <c r="I94" s="2">
        <v>38</v>
      </c>
      <c r="J94" s="2">
        <v>30</v>
      </c>
      <c r="K94" s="2">
        <v>556</v>
      </c>
      <c r="L94" s="22">
        <v>4982170</v>
      </c>
    </row>
    <row r="95" spans="1:12" x14ac:dyDescent="0.25">
      <c r="A95" t="s">
        <v>153</v>
      </c>
      <c r="B95" t="s">
        <v>24</v>
      </c>
      <c r="C95" t="s">
        <v>25</v>
      </c>
      <c r="D95" t="s">
        <v>26</v>
      </c>
      <c r="E95" s="2">
        <v>0</v>
      </c>
      <c r="F95" s="2">
        <v>0</v>
      </c>
      <c r="G95" s="2">
        <v>0</v>
      </c>
      <c r="H95" s="22">
        <v>0</v>
      </c>
      <c r="I95" s="2">
        <v>9</v>
      </c>
      <c r="J95" s="2">
        <v>8</v>
      </c>
      <c r="K95" s="2">
        <v>0</v>
      </c>
      <c r="L95" s="22">
        <v>0</v>
      </c>
    </row>
    <row r="96" spans="1:12" x14ac:dyDescent="0.25">
      <c r="A96" t="s">
        <v>154</v>
      </c>
      <c r="B96" t="s">
        <v>155</v>
      </c>
      <c r="C96" t="s">
        <v>9</v>
      </c>
      <c r="D96" t="s">
        <v>10</v>
      </c>
      <c r="E96" s="2">
        <v>0</v>
      </c>
      <c r="F96" s="2">
        <v>0</v>
      </c>
      <c r="G96" s="2">
        <v>0</v>
      </c>
      <c r="H96" s="22">
        <v>0</v>
      </c>
      <c r="I96" s="2">
        <v>1</v>
      </c>
      <c r="J96" s="2">
        <v>1</v>
      </c>
      <c r="K96" s="2">
        <v>0</v>
      </c>
      <c r="L96" s="22">
        <v>0</v>
      </c>
    </row>
    <row r="97" spans="1:12" x14ac:dyDescent="0.25">
      <c r="A97" t="s">
        <v>156</v>
      </c>
      <c r="B97" t="s">
        <v>155</v>
      </c>
      <c r="C97" t="s">
        <v>9</v>
      </c>
      <c r="D97" t="s">
        <v>10</v>
      </c>
      <c r="E97" s="2">
        <v>0</v>
      </c>
      <c r="F97" s="2">
        <v>0</v>
      </c>
      <c r="G97" s="2">
        <v>0</v>
      </c>
      <c r="H97" s="22">
        <v>0</v>
      </c>
      <c r="I97" s="2">
        <v>3</v>
      </c>
      <c r="J97" s="2">
        <v>2</v>
      </c>
      <c r="K97" s="2">
        <v>0</v>
      </c>
      <c r="L97" s="22">
        <v>0</v>
      </c>
    </row>
    <row r="98" spans="1:12" x14ac:dyDescent="0.25">
      <c r="A98" t="s">
        <v>157</v>
      </c>
      <c r="B98" t="s">
        <v>155</v>
      </c>
      <c r="C98" t="s">
        <v>9</v>
      </c>
      <c r="D98" t="s">
        <v>10</v>
      </c>
      <c r="E98" s="2">
        <v>0</v>
      </c>
      <c r="F98" s="2">
        <v>0</v>
      </c>
      <c r="G98" s="2">
        <v>0</v>
      </c>
      <c r="H98" s="22">
        <v>0</v>
      </c>
      <c r="I98" s="2">
        <v>0</v>
      </c>
      <c r="J98" s="2">
        <v>0</v>
      </c>
      <c r="K98" s="2">
        <v>0</v>
      </c>
      <c r="L98" s="22">
        <v>0</v>
      </c>
    </row>
    <row r="99" spans="1:12" x14ac:dyDescent="0.25">
      <c r="A99" t="s">
        <v>158</v>
      </c>
      <c r="B99" t="s">
        <v>155</v>
      </c>
      <c r="C99" t="s">
        <v>9</v>
      </c>
      <c r="D99" t="s">
        <v>10</v>
      </c>
      <c r="E99" s="2">
        <v>0</v>
      </c>
      <c r="F99" s="2">
        <v>0</v>
      </c>
      <c r="G99" s="2">
        <v>0</v>
      </c>
      <c r="H99" s="22">
        <v>0</v>
      </c>
      <c r="I99" s="2">
        <v>4</v>
      </c>
      <c r="J99" s="2">
        <v>4</v>
      </c>
      <c r="K99" s="2">
        <v>0</v>
      </c>
      <c r="L99" s="22">
        <v>0</v>
      </c>
    </row>
    <row r="100" spans="1:12" x14ac:dyDescent="0.25">
      <c r="A100" t="s">
        <v>159</v>
      </c>
      <c r="B100" t="s">
        <v>155</v>
      </c>
      <c r="C100" t="s">
        <v>9</v>
      </c>
      <c r="D100" t="s">
        <v>10</v>
      </c>
      <c r="E100" s="2">
        <v>0</v>
      </c>
      <c r="F100" s="2">
        <v>0</v>
      </c>
      <c r="G100" s="2">
        <v>0</v>
      </c>
      <c r="H100" s="22">
        <v>0</v>
      </c>
      <c r="I100" s="2">
        <v>0</v>
      </c>
      <c r="J100" s="2">
        <v>0</v>
      </c>
      <c r="K100" s="2">
        <v>0</v>
      </c>
      <c r="L100" s="22">
        <v>0</v>
      </c>
    </row>
    <row r="101" spans="1:12" x14ac:dyDescent="0.25">
      <c r="A101" t="s">
        <v>160</v>
      </c>
      <c r="B101" t="s">
        <v>39</v>
      </c>
      <c r="C101" t="s">
        <v>40</v>
      </c>
      <c r="D101" t="s">
        <v>41</v>
      </c>
      <c r="E101" s="2">
        <v>0</v>
      </c>
      <c r="F101" s="2">
        <v>0</v>
      </c>
      <c r="G101" s="2">
        <v>0</v>
      </c>
      <c r="H101" s="22">
        <v>0</v>
      </c>
      <c r="I101" s="2">
        <v>3</v>
      </c>
      <c r="J101" s="2">
        <v>1</v>
      </c>
      <c r="K101" s="2">
        <v>0</v>
      </c>
      <c r="L101" s="22">
        <v>0</v>
      </c>
    </row>
    <row r="102" spans="1:12" x14ac:dyDescent="0.25">
      <c r="A102" t="s">
        <v>161</v>
      </c>
      <c r="B102" t="s">
        <v>24</v>
      </c>
      <c r="D102" t="s">
        <v>32</v>
      </c>
      <c r="E102" s="2">
        <v>35</v>
      </c>
      <c r="F102" s="2">
        <v>8</v>
      </c>
      <c r="G102" s="2">
        <v>2132</v>
      </c>
      <c r="H102" s="22">
        <v>26432091</v>
      </c>
      <c r="I102" s="2">
        <v>15</v>
      </c>
      <c r="J102" s="2">
        <v>14</v>
      </c>
      <c r="K102" s="2">
        <v>1165</v>
      </c>
      <c r="L102" s="22">
        <v>11561120</v>
      </c>
    </row>
    <row r="103" spans="1:12" x14ac:dyDescent="0.25">
      <c r="A103" t="s">
        <v>162</v>
      </c>
      <c r="B103" t="s">
        <v>24</v>
      </c>
      <c r="D103" t="s">
        <v>32</v>
      </c>
      <c r="E103" s="2">
        <v>0</v>
      </c>
      <c r="F103" s="2">
        <v>0</v>
      </c>
      <c r="G103" s="2">
        <v>0</v>
      </c>
      <c r="H103" s="22">
        <v>0</v>
      </c>
      <c r="I103" s="2">
        <v>4</v>
      </c>
      <c r="J103" s="2">
        <v>4</v>
      </c>
      <c r="K103" s="2">
        <v>0</v>
      </c>
      <c r="L103" s="22">
        <v>0</v>
      </c>
    </row>
    <row r="104" spans="1:12" x14ac:dyDescent="0.25">
      <c r="A104" t="s">
        <v>163</v>
      </c>
      <c r="B104" t="s">
        <v>76</v>
      </c>
      <c r="C104" t="s">
        <v>40</v>
      </c>
      <c r="D104" t="s">
        <v>80</v>
      </c>
      <c r="E104" s="2">
        <v>119</v>
      </c>
      <c r="F104" s="2">
        <v>18</v>
      </c>
      <c r="G104" s="2">
        <v>2569</v>
      </c>
      <c r="H104" s="22">
        <v>35501073</v>
      </c>
      <c r="I104" s="2">
        <v>35</v>
      </c>
      <c r="J104" s="2">
        <v>22</v>
      </c>
      <c r="K104" s="2">
        <v>1831</v>
      </c>
      <c r="L104" s="22">
        <v>17160680</v>
      </c>
    </row>
    <row r="105" spans="1:12" x14ac:dyDescent="0.25">
      <c r="A105" t="s">
        <v>164</v>
      </c>
      <c r="B105" t="s">
        <v>39</v>
      </c>
      <c r="C105" t="s">
        <v>40</v>
      </c>
      <c r="D105" t="s">
        <v>41</v>
      </c>
      <c r="E105" s="2">
        <v>0</v>
      </c>
      <c r="F105" s="2">
        <v>0</v>
      </c>
      <c r="G105" s="2">
        <v>0</v>
      </c>
      <c r="H105" s="22">
        <v>0</v>
      </c>
      <c r="I105" s="2">
        <v>7</v>
      </c>
      <c r="J105" s="2">
        <v>6</v>
      </c>
      <c r="K105" s="2">
        <v>0</v>
      </c>
      <c r="L105" s="22">
        <v>0</v>
      </c>
    </row>
    <row r="106" spans="1:12" x14ac:dyDescent="0.25">
      <c r="A106" t="s">
        <v>165</v>
      </c>
      <c r="B106" t="s">
        <v>68</v>
      </c>
      <c r="C106" t="s">
        <v>40</v>
      </c>
      <c r="D106" t="s">
        <v>69</v>
      </c>
      <c r="E106" s="2">
        <v>345</v>
      </c>
      <c r="F106" s="2">
        <v>76</v>
      </c>
      <c r="G106" s="2">
        <v>5155</v>
      </c>
      <c r="H106" s="22">
        <v>51008355</v>
      </c>
      <c r="I106" s="2">
        <v>105</v>
      </c>
      <c r="J106" s="2">
        <v>42</v>
      </c>
      <c r="K106" s="2">
        <v>3118</v>
      </c>
      <c r="L106" s="22">
        <v>23103906</v>
      </c>
    </row>
    <row r="107" spans="1:12" x14ac:dyDescent="0.25">
      <c r="A107" t="s">
        <v>166</v>
      </c>
      <c r="B107" t="s">
        <v>85</v>
      </c>
      <c r="C107" t="s">
        <v>40</v>
      </c>
      <c r="D107" t="s">
        <v>167</v>
      </c>
      <c r="E107" s="2">
        <v>92</v>
      </c>
      <c r="F107" s="2">
        <v>10</v>
      </c>
      <c r="G107" s="2">
        <v>136</v>
      </c>
      <c r="H107" s="22">
        <v>2482493</v>
      </c>
      <c r="I107" s="2">
        <v>19</v>
      </c>
      <c r="J107" s="2">
        <v>8</v>
      </c>
      <c r="K107" s="2">
        <v>44</v>
      </c>
      <c r="L107" s="22">
        <v>931575</v>
      </c>
    </row>
    <row r="108" spans="1:12" x14ac:dyDescent="0.25">
      <c r="A108" t="s">
        <v>168</v>
      </c>
      <c r="B108" t="s">
        <v>24</v>
      </c>
      <c r="D108" t="s">
        <v>35</v>
      </c>
      <c r="E108" s="2">
        <v>365</v>
      </c>
      <c r="F108" s="2">
        <v>71</v>
      </c>
      <c r="G108" s="2">
        <v>3356</v>
      </c>
      <c r="H108" s="22">
        <v>44463630</v>
      </c>
      <c r="I108" s="2">
        <v>84</v>
      </c>
      <c r="J108" s="2">
        <v>41</v>
      </c>
      <c r="K108" s="2">
        <v>1795</v>
      </c>
      <c r="L108" s="22">
        <v>20942467</v>
      </c>
    </row>
    <row r="109" spans="1:12" x14ac:dyDescent="0.25">
      <c r="A109" t="s">
        <v>169</v>
      </c>
      <c r="B109" t="s">
        <v>155</v>
      </c>
      <c r="D109" t="s">
        <v>10</v>
      </c>
      <c r="E109" s="2">
        <v>0</v>
      </c>
      <c r="F109" s="2">
        <v>0</v>
      </c>
      <c r="G109" s="2">
        <v>0</v>
      </c>
      <c r="H109" s="22">
        <v>0</v>
      </c>
      <c r="I109" s="2">
        <v>0</v>
      </c>
      <c r="J109" s="2">
        <v>0</v>
      </c>
      <c r="K109" s="2">
        <v>0</v>
      </c>
      <c r="L109" s="22">
        <v>0</v>
      </c>
    </row>
    <row r="110" spans="1:12" x14ac:dyDescent="0.25">
      <c r="A110" t="s">
        <v>170</v>
      </c>
      <c r="B110" t="s">
        <v>39</v>
      </c>
      <c r="D110" t="s">
        <v>41</v>
      </c>
      <c r="E110" s="2">
        <v>0</v>
      </c>
      <c r="F110" s="2">
        <v>0</v>
      </c>
      <c r="G110" s="2">
        <v>0</v>
      </c>
      <c r="H110" s="22">
        <v>0</v>
      </c>
      <c r="I110" s="2">
        <v>6</v>
      </c>
      <c r="J110" s="2">
        <v>6</v>
      </c>
      <c r="K110" s="2">
        <v>0</v>
      </c>
      <c r="L110" s="22">
        <v>0</v>
      </c>
    </row>
    <row r="111" spans="1:12" x14ac:dyDescent="0.25">
      <c r="A111" t="s">
        <v>171</v>
      </c>
      <c r="B111" t="s">
        <v>39</v>
      </c>
      <c r="D111" t="s">
        <v>41</v>
      </c>
      <c r="E111" s="2">
        <v>0</v>
      </c>
      <c r="F111" s="2">
        <v>0</v>
      </c>
      <c r="G111" s="2">
        <v>0</v>
      </c>
      <c r="H111" s="22">
        <v>0</v>
      </c>
      <c r="I111" s="2">
        <v>2</v>
      </c>
      <c r="J111" s="2">
        <v>2</v>
      </c>
      <c r="K111" s="2">
        <v>0</v>
      </c>
      <c r="L111" s="22">
        <v>0</v>
      </c>
    </row>
    <row r="112" spans="1:12" x14ac:dyDescent="0.25">
      <c r="A112" t="s">
        <v>172</v>
      </c>
      <c r="B112" t="s">
        <v>155</v>
      </c>
      <c r="C112" t="s">
        <v>9</v>
      </c>
      <c r="D112" t="s">
        <v>10</v>
      </c>
      <c r="E112" s="2">
        <v>0</v>
      </c>
      <c r="F112" s="2">
        <v>0</v>
      </c>
      <c r="G112" s="2">
        <v>0</v>
      </c>
      <c r="H112" s="22">
        <v>0</v>
      </c>
      <c r="I112" s="2">
        <v>0</v>
      </c>
      <c r="J112" s="2">
        <v>0</v>
      </c>
      <c r="K112" s="2">
        <v>0</v>
      </c>
      <c r="L112" s="22">
        <v>0</v>
      </c>
    </row>
    <row r="113" spans="1:12" x14ac:dyDescent="0.25">
      <c r="A113" t="s">
        <v>173</v>
      </c>
      <c r="B113" t="s">
        <v>155</v>
      </c>
      <c r="C113" t="s">
        <v>9</v>
      </c>
      <c r="D113" t="s">
        <v>10</v>
      </c>
      <c r="E113" s="2">
        <v>0</v>
      </c>
      <c r="F113" s="2">
        <v>0</v>
      </c>
      <c r="G113" s="2">
        <v>0</v>
      </c>
      <c r="H113" s="22">
        <v>0</v>
      </c>
      <c r="I113" s="2">
        <v>0</v>
      </c>
      <c r="J113" s="2">
        <v>0</v>
      </c>
      <c r="K113" s="2">
        <v>0</v>
      </c>
      <c r="L113" s="22">
        <v>0</v>
      </c>
    </row>
    <row r="114" spans="1:12" x14ac:dyDescent="0.25">
      <c r="A114" t="s">
        <v>174</v>
      </c>
      <c r="B114" t="s">
        <v>24</v>
      </c>
      <c r="D114" t="s">
        <v>37</v>
      </c>
      <c r="E114" s="2">
        <v>313</v>
      </c>
      <c r="F114" s="2">
        <v>56</v>
      </c>
      <c r="G114" s="2">
        <v>6898</v>
      </c>
      <c r="H114" s="22">
        <v>78196204</v>
      </c>
      <c r="I114" s="2">
        <v>86</v>
      </c>
      <c r="J114" s="2">
        <v>50</v>
      </c>
      <c r="K114" s="2">
        <v>5056</v>
      </c>
      <c r="L114" s="22">
        <v>36281105</v>
      </c>
    </row>
    <row r="115" spans="1:12" x14ac:dyDescent="0.25">
      <c r="A115" t="s">
        <v>175</v>
      </c>
      <c r="B115" t="s">
        <v>155</v>
      </c>
      <c r="C115" t="s">
        <v>9</v>
      </c>
      <c r="D115" t="s">
        <v>10</v>
      </c>
      <c r="E115" s="2">
        <v>0</v>
      </c>
      <c r="F115" s="2">
        <v>0</v>
      </c>
      <c r="G115" s="2">
        <v>0</v>
      </c>
      <c r="H115" s="22">
        <v>0</v>
      </c>
      <c r="I115" s="2">
        <v>0</v>
      </c>
      <c r="J115" s="2">
        <v>0</v>
      </c>
      <c r="K115" s="2">
        <v>0</v>
      </c>
      <c r="L115" s="22">
        <v>0</v>
      </c>
    </row>
    <row r="116" spans="1:12" x14ac:dyDescent="0.25">
      <c r="A116" t="s">
        <v>176</v>
      </c>
      <c r="B116" t="s">
        <v>155</v>
      </c>
      <c r="C116" t="s">
        <v>9</v>
      </c>
      <c r="D116" t="s">
        <v>10</v>
      </c>
      <c r="E116" s="2">
        <v>0</v>
      </c>
      <c r="F116" s="2">
        <v>0</v>
      </c>
      <c r="G116" s="2">
        <v>0</v>
      </c>
      <c r="H116" s="22">
        <v>0</v>
      </c>
      <c r="I116" s="2">
        <v>0</v>
      </c>
      <c r="J116" s="2">
        <v>0</v>
      </c>
      <c r="K116" s="2">
        <v>0</v>
      </c>
      <c r="L116" s="22">
        <v>0</v>
      </c>
    </row>
    <row r="117" spans="1:12" x14ac:dyDescent="0.25">
      <c r="A117" t="s">
        <v>177</v>
      </c>
      <c r="B117" t="s">
        <v>155</v>
      </c>
      <c r="C117" t="s">
        <v>9</v>
      </c>
      <c r="D117" t="s">
        <v>10</v>
      </c>
      <c r="E117" s="2">
        <v>0</v>
      </c>
      <c r="F117" s="2">
        <v>0</v>
      </c>
      <c r="G117" s="2">
        <v>0</v>
      </c>
      <c r="H117" s="22">
        <v>0</v>
      </c>
      <c r="I117" s="2">
        <v>0</v>
      </c>
      <c r="J117" s="2">
        <v>0</v>
      </c>
      <c r="K117" s="2">
        <v>0</v>
      </c>
      <c r="L117" s="22">
        <v>0</v>
      </c>
    </row>
    <row r="118" spans="1:12" x14ac:dyDescent="0.25">
      <c r="A118" t="s">
        <v>178</v>
      </c>
      <c r="B118" t="s">
        <v>24</v>
      </c>
      <c r="D118" t="s">
        <v>30</v>
      </c>
      <c r="E118" s="2">
        <v>349</v>
      </c>
      <c r="F118" s="2">
        <v>64</v>
      </c>
      <c r="G118" s="2">
        <v>7427</v>
      </c>
      <c r="H118" s="22">
        <v>205134344</v>
      </c>
      <c r="I118" s="2">
        <v>87</v>
      </c>
      <c r="J118" s="2">
        <v>48</v>
      </c>
      <c r="K118" s="2">
        <v>4833</v>
      </c>
      <c r="L118" s="22">
        <v>137062577</v>
      </c>
    </row>
    <row r="119" spans="1:12" x14ac:dyDescent="0.25">
      <c r="A119" t="s">
        <v>179</v>
      </c>
      <c r="B119" t="s">
        <v>85</v>
      </c>
      <c r="D119" t="s">
        <v>26</v>
      </c>
      <c r="E119" s="2">
        <v>388</v>
      </c>
      <c r="F119" s="2">
        <v>46</v>
      </c>
      <c r="G119" s="2">
        <v>3276</v>
      </c>
      <c r="H119" s="22">
        <v>50686787</v>
      </c>
      <c r="I119" s="2">
        <v>36</v>
      </c>
      <c r="J119" s="2">
        <v>22</v>
      </c>
      <c r="K119" s="2">
        <v>1646</v>
      </c>
      <c r="L119" s="22">
        <v>22007695</v>
      </c>
    </row>
    <row r="120" spans="1:12" x14ac:dyDescent="0.25">
      <c r="A120" t="s">
        <v>180</v>
      </c>
      <c r="B120" t="s">
        <v>24</v>
      </c>
      <c r="D120" t="s">
        <v>26</v>
      </c>
      <c r="E120" s="2">
        <v>480</v>
      </c>
      <c r="F120" s="2">
        <v>77</v>
      </c>
      <c r="G120" s="2">
        <v>5374</v>
      </c>
      <c r="H120" s="22">
        <v>55066133</v>
      </c>
      <c r="I120" s="2">
        <v>53</v>
      </c>
      <c r="J120" s="2">
        <v>33</v>
      </c>
      <c r="K120" s="2">
        <v>2056</v>
      </c>
      <c r="L120" s="22">
        <v>16554614</v>
      </c>
    </row>
    <row r="121" spans="1:12" x14ac:dyDescent="0.25">
      <c r="A121" t="s">
        <v>181</v>
      </c>
      <c r="B121" t="s">
        <v>85</v>
      </c>
      <c r="D121" t="s">
        <v>26</v>
      </c>
      <c r="E121" s="2">
        <v>505</v>
      </c>
      <c r="F121" s="2">
        <v>63</v>
      </c>
      <c r="G121" s="2">
        <v>5727</v>
      </c>
      <c r="H121" s="22">
        <v>44184016</v>
      </c>
      <c r="I121" s="2">
        <v>58</v>
      </c>
      <c r="J121" s="2">
        <v>25</v>
      </c>
      <c r="K121" s="2">
        <v>2444</v>
      </c>
      <c r="L121" s="22">
        <v>18512899</v>
      </c>
    </row>
    <row r="122" spans="1:12" x14ac:dyDescent="0.25">
      <c r="A122" t="s">
        <v>7</v>
      </c>
      <c r="B122" t="s">
        <v>8</v>
      </c>
      <c r="C122" t="s">
        <v>9</v>
      </c>
      <c r="D122" t="s">
        <v>10</v>
      </c>
      <c r="E122" s="2">
        <v>448</v>
      </c>
      <c r="F122" s="2">
        <v>75</v>
      </c>
      <c r="G122" s="2">
        <v>831</v>
      </c>
      <c r="H122" s="22">
        <v>8622225</v>
      </c>
      <c r="I122">
        <v>118</v>
      </c>
      <c r="J122" s="2">
        <v>45</v>
      </c>
      <c r="K122">
        <v>518</v>
      </c>
      <c r="L122" s="22">
        <v>4094650</v>
      </c>
    </row>
    <row r="123" spans="1:12" x14ac:dyDescent="0.25">
      <c r="A123" t="s">
        <v>11</v>
      </c>
      <c r="B123" t="s">
        <v>8</v>
      </c>
      <c r="C123" t="s">
        <v>9</v>
      </c>
      <c r="D123" t="s">
        <v>10</v>
      </c>
      <c r="E123" s="2">
        <v>404</v>
      </c>
      <c r="F123" s="2">
        <v>87</v>
      </c>
      <c r="G123" s="2">
        <v>1385</v>
      </c>
      <c r="H123" s="22">
        <v>14957395</v>
      </c>
      <c r="I123">
        <v>162</v>
      </c>
      <c r="J123" s="2">
        <v>59</v>
      </c>
      <c r="K123">
        <v>829</v>
      </c>
      <c r="L123" s="22">
        <v>9856200</v>
      </c>
    </row>
    <row r="124" spans="1:12" x14ac:dyDescent="0.25">
      <c r="A124" t="s">
        <v>12</v>
      </c>
      <c r="B124" t="s">
        <v>8</v>
      </c>
      <c r="C124" t="s">
        <v>9</v>
      </c>
      <c r="D124" t="s">
        <v>10</v>
      </c>
      <c r="E124" s="2">
        <v>255</v>
      </c>
      <c r="F124" s="2">
        <v>31</v>
      </c>
      <c r="G124" s="2">
        <v>503</v>
      </c>
      <c r="H124" s="22">
        <v>4767638</v>
      </c>
      <c r="I124">
        <v>75</v>
      </c>
      <c r="J124" s="2">
        <v>37</v>
      </c>
      <c r="K124">
        <v>424</v>
      </c>
      <c r="L124" s="22">
        <v>3083380</v>
      </c>
    </row>
    <row r="125" spans="1:12" x14ac:dyDescent="0.25">
      <c r="A125" t="s">
        <v>13</v>
      </c>
      <c r="B125" t="s">
        <v>8</v>
      </c>
      <c r="C125" t="s">
        <v>9</v>
      </c>
      <c r="D125" t="s">
        <v>10</v>
      </c>
      <c r="E125" s="2">
        <v>403</v>
      </c>
      <c r="F125" s="2">
        <v>95</v>
      </c>
      <c r="G125" s="2">
        <v>837</v>
      </c>
      <c r="H125" s="22">
        <v>8898566</v>
      </c>
      <c r="I125">
        <v>100</v>
      </c>
      <c r="J125" s="2">
        <v>29</v>
      </c>
      <c r="K125">
        <v>317</v>
      </c>
      <c r="L125" s="22">
        <v>2938580</v>
      </c>
    </row>
    <row r="126" spans="1:12" x14ac:dyDescent="0.25">
      <c r="A126" t="s">
        <v>14</v>
      </c>
      <c r="B126" t="s">
        <v>8</v>
      </c>
      <c r="C126" t="s">
        <v>9</v>
      </c>
      <c r="D126" t="s">
        <v>10</v>
      </c>
      <c r="E126" s="2">
        <v>363</v>
      </c>
      <c r="F126" s="2">
        <v>91</v>
      </c>
      <c r="G126" s="2">
        <v>862</v>
      </c>
      <c r="H126" s="22">
        <v>8169011</v>
      </c>
      <c r="I126">
        <v>112</v>
      </c>
      <c r="J126" s="2">
        <v>37</v>
      </c>
      <c r="K126">
        <v>462</v>
      </c>
      <c r="L126" s="22">
        <v>4687100</v>
      </c>
    </row>
    <row r="127" spans="1:12" x14ac:dyDescent="0.25">
      <c r="A127" t="s">
        <v>15</v>
      </c>
      <c r="B127" t="s">
        <v>16</v>
      </c>
      <c r="C127" t="s">
        <v>9</v>
      </c>
      <c r="D127" t="s">
        <v>10</v>
      </c>
      <c r="E127" s="2">
        <v>360</v>
      </c>
      <c r="F127" s="2">
        <v>73</v>
      </c>
      <c r="G127" s="2">
        <v>936</v>
      </c>
      <c r="H127" s="22">
        <v>10118431</v>
      </c>
      <c r="I127">
        <v>140</v>
      </c>
      <c r="J127" s="2">
        <v>49</v>
      </c>
      <c r="K127">
        <v>471</v>
      </c>
      <c r="L127" s="22">
        <v>4388775</v>
      </c>
    </row>
    <row r="128" spans="1:12" x14ac:dyDescent="0.25">
      <c r="A128" t="s">
        <v>17</v>
      </c>
      <c r="B128" t="s">
        <v>8</v>
      </c>
      <c r="C128" t="s">
        <v>9</v>
      </c>
      <c r="D128" t="s">
        <v>10</v>
      </c>
      <c r="E128" s="2">
        <v>395</v>
      </c>
      <c r="F128" s="2">
        <v>46</v>
      </c>
      <c r="G128" s="2">
        <v>605</v>
      </c>
      <c r="H128" s="22">
        <v>8746332</v>
      </c>
      <c r="I128">
        <v>85</v>
      </c>
      <c r="J128" s="2">
        <v>28</v>
      </c>
      <c r="K128">
        <v>323</v>
      </c>
      <c r="L128" s="22">
        <v>2181270</v>
      </c>
    </row>
    <row r="129" spans="1:12" x14ac:dyDescent="0.25">
      <c r="A129" t="s">
        <v>18</v>
      </c>
      <c r="B129" t="s">
        <v>8</v>
      </c>
      <c r="C129" t="s">
        <v>9</v>
      </c>
      <c r="D129" t="s">
        <v>10</v>
      </c>
      <c r="E129" s="2">
        <v>498</v>
      </c>
      <c r="F129" s="2">
        <v>62</v>
      </c>
      <c r="G129" s="2">
        <v>756</v>
      </c>
      <c r="H129" s="22">
        <v>15025770</v>
      </c>
      <c r="I129">
        <v>125</v>
      </c>
      <c r="J129" s="2">
        <v>24</v>
      </c>
      <c r="K129">
        <v>413</v>
      </c>
      <c r="L129" s="22">
        <v>4613420</v>
      </c>
    </row>
    <row r="130" spans="1:12" x14ac:dyDescent="0.25">
      <c r="A130" t="s">
        <v>19</v>
      </c>
      <c r="B130" t="s">
        <v>8</v>
      </c>
      <c r="C130" t="s">
        <v>9</v>
      </c>
      <c r="D130" t="s">
        <v>10</v>
      </c>
      <c r="E130" s="2">
        <v>443</v>
      </c>
      <c r="F130" s="2">
        <v>67</v>
      </c>
      <c r="G130" s="2">
        <v>1061</v>
      </c>
      <c r="H130" s="22">
        <v>9626179</v>
      </c>
      <c r="I130">
        <v>94</v>
      </c>
      <c r="J130" s="2">
        <v>26</v>
      </c>
      <c r="K130">
        <v>402</v>
      </c>
      <c r="L130" s="22">
        <v>3331720</v>
      </c>
    </row>
    <row r="131" spans="1:12" x14ac:dyDescent="0.25">
      <c r="A131" t="s">
        <v>20</v>
      </c>
      <c r="B131" t="s">
        <v>8</v>
      </c>
      <c r="C131" t="s">
        <v>9</v>
      </c>
      <c r="D131" t="s">
        <v>10</v>
      </c>
      <c r="E131" s="2">
        <v>0</v>
      </c>
      <c r="F131" s="2">
        <v>0</v>
      </c>
      <c r="G131" s="2">
        <v>0</v>
      </c>
      <c r="H131" s="22">
        <v>0</v>
      </c>
      <c r="I131">
        <v>0</v>
      </c>
      <c r="J131" s="2">
        <v>0</v>
      </c>
      <c r="K131">
        <v>0</v>
      </c>
      <c r="L131" s="22">
        <v>0</v>
      </c>
    </row>
    <row r="132" spans="1:12" x14ac:dyDescent="0.25">
      <c r="A132" t="s">
        <v>21</v>
      </c>
      <c r="B132" t="s">
        <v>16</v>
      </c>
      <c r="C132" t="s">
        <v>9</v>
      </c>
      <c r="D132" t="s">
        <v>10</v>
      </c>
      <c r="E132" s="2">
        <v>213</v>
      </c>
      <c r="F132" s="2">
        <v>39</v>
      </c>
      <c r="G132" s="2">
        <v>562</v>
      </c>
      <c r="H132" s="22">
        <v>7411183</v>
      </c>
      <c r="I132">
        <v>77</v>
      </c>
      <c r="J132" s="2">
        <v>23</v>
      </c>
      <c r="K132">
        <v>250</v>
      </c>
      <c r="L132" s="22">
        <v>2331300</v>
      </c>
    </row>
    <row r="133" spans="1:12" x14ac:dyDescent="0.25">
      <c r="A133" t="s">
        <v>22</v>
      </c>
      <c r="B133" t="s">
        <v>16</v>
      </c>
      <c r="C133" t="s">
        <v>9</v>
      </c>
      <c r="D133" t="s">
        <v>10</v>
      </c>
      <c r="E133" s="2">
        <v>545</v>
      </c>
      <c r="F133" s="2">
        <v>134</v>
      </c>
      <c r="G133" s="2">
        <v>2452</v>
      </c>
      <c r="H133" s="22">
        <v>28462943</v>
      </c>
      <c r="I133">
        <v>198</v>
      </c>
      <c r="J133" s="2">
        <v>85</v>
      </c>
      <c r="K133">
        <v>1521</v>
      </c>
      <c r="L133" s="22">
        <v>13556310</v>
      </c>
    </row>
    <row r="134" spans="1:12" x14ac:dyDescent="0.25">
      <c r="A134" t="s">
        <v>23</v>
      </c>
      <c r="B134" t="s">
        <v>24</v>
      </c>
      <c r="C134" t="s">
        <v>25</v>
      </c>
      <c r="D134" t="s">
        <v>26</v>
      </c>
      <c r="E134" s="2">
        <v>0</v>
      </c>
      <c r="F134" s="2">
        <v>0</v>
      </c>
      <c r="G134" s="2">
        <v>0</v>
      </c>
      <c r="H134" s="22">
        <v>0</v>
      </c>
      <c r="I134">
        <v>0</v>
      </c>
      <c r="J134" s="2">
        <v>0</v>
      </c>
      <c r="K134">
        <v>0</v>
      </c>
      <c r="L134" s="22">
        <v>0</v>
      </c>
    </row>
    <row r="135" spans="1:12" x14ac:dyDescent="0.25">
      <c r="A135" t="s">
        <v>27</v>
      </c>
      <c r="B135" t="s">
        <v>24</v>
      </c>
      <c r="C135" t="s">
        <v>25</v>
      </c>
      <c r="D135" t="s">
        <v>26</v>
      </c>
      <c r="E135" s="2">
        <v>574</v>
      </c>
      <c r="F135" s="2">
        <v>107</v>
      </c>
      <c r="G135" s="2">
        <v>1571</v>
      </c>
      <c r="H135" s="22">
        <v>18138258</v>
      </c>
      <c r="I135">
        <v>175</v>
      </c>
      <c r="J135" s="2">
        <v>79</v>
      </c>
      <c r="K135">
        <v>935</v>
      </c>
      <c r="L135" s="22">
        <v>8316020</v>
      </c>
    </row>
    <row r="136" spans="1:12" x14ac:dyDescent="0.25">
      <c r="A136" t="s">
        <v>28</v>
      </c>
      <c r="B136" t="s">
        <v>24</v>
      </c>
      <c r="C136" t="s">
        <v>25</v>
      </c>
      <c r="D136" t="s">
        <v>26</v>
      </c>
      <c r="E136" s="2">
        <v>0</v>
      </c>
      <c r="F136" s="2">
        <v>0</v>
      </c>
      <c r="G136" s="2">
        <v>0</v>
      </c>
      <c r="H136" s="22">
        <v>0</v>
      </c>
      <c r="I136">
        <v>0</v>
      </c>
      <c r="J136" s="2">
        <v>0</v>
      </c>
      <c r="K136">
        <v>0</v>
      </c>
      <c r="L136" s="22">
        <v>0</v>
      </c>
    </row>
    <row r="137" spans="1:12" x14ac:dyDescent="0.25">
      <c r="A137" t="s">
        <v>29</v>
      </c>
      <c r="B137" t="s">
        <v>24</v>
      </c>
      <c r="C137" t="s">
        <v>25</v>
      </c>
      <c r="D137" t="s">
        <v>30</v>
      </c>
      <c r="E137" s="2">
        <v>0</v>
      </c>
      <c r="F137" s="2">
        <v>0</v>
      </c>
      <c r="G137" s="2">
        <v>0</v>
      </c>
      <c r="H137" s="22">
        <v>0</v>
      </c>
      <c r="I137">
        <v>0</v>
      </c>
      <c r="J137" s="2">
        <v>0</v>
      </c>
      <c r="K137">
        <v>0</v>
      </c>
      <c r="L137" s="22">
        <v>0</v>
      </c>
    </row>
    <row r="138" spans="1:12" x14ac:dyDescent="0.25">
      <c r="A138" t="s">
        <v>31</v>
      </c>
      <c r="B138" t="s">
        <v>24</v>
      </c>
      <c r="C138" t="s">
        <v>25</v>
      </c>
      <c r="D138" t="s">
        <v>32</v>
      </c>
      <c r="E138" s="2">
        <v>756</v>
      </c>
      <c r="F138" s="2">
        <v>166</v>
      </c>
      <c r="G138" s="2">
        <v>1211</v>
      </c>
      <c r="H138" s="22">
        <v>12827638</v>
      </c>
      <c r="I138">
        <v>155</v>
      </c>
      <c r="J138" s="2">
        <v>64</v>
      </c>
      <c r="K138">
        <v>706</v>
      </c>
      <c r="L138" s="22">
        <v>5149265</v>
      </c>
    </row>
    <row r="139" spans="1:12" x14ac:dyDescent="0.25">
      <c r="A139" t="s">
        <v>33</v>
      </c>
      <c r="B139" t="s">
        <v>24</v>
      </c>
      <c r="C139" t="s">
        <v>25</v>
      </c>
      <c r="D139" t="s">
        <v>32</v>
      </c>
      <c r="E139" s="2">
        <v>575</v>
      </c>
      <c r="F139" s="2">
        <v>92</v>
      </c>
      <c r="G139" s="2">
        <v>1144</v>
      </c>
      <c r="H139" s="22">
        <v>14883349</v>
      </c>
      <c r="I139">
        <v>138</v>
      </c>
      <c r="J139" s="2">
        <v>66</v>
      </c>
      <c r="K139">
        <v>713</v>
      </c>
      <c r="L139" s="22">
        <v>6262030</v>
      </c>
    </row>
    <row r="140" spans="1:12" x14ac:dyDescent="0.25">
      <c r="A140" t="s">
        <v>34</v>
      </c>
      <c r="B140" t="s">
        <v>24</v>
      </c>
      <c r="C140" t="s">
        <v>25</v>
      </c>
      <c r="D140" t="s">
        <v>35</v>
      </c>
      <c r="E140" s="2">
        <v>0</v>
      </c>
      <c r="F140" s="2">
        <v>0</v>
      </c>
      <c r="G140" s="2">
        <v>0</v>
      </c>
      <c r="H140" s="22">
        <v>0</v>
      </c>
      <c r="I140">
        <v>0</v>
      </c>
      <c r="J140" s="2">
        <v>0</v>
      </c>
      <c r="K140">
        <v>0</v>
      </c>
      <c r="L140" s="22">
        <v>0</v>
      </c>
    </row>
    <row r="141" spans="1:12" x14ac:dyDescent="0.25">
      <c r="A141" t="s">
        <v>36</v>
      </c>
      <c r="B141" t="s">
        <v>24</v>
      </c>
      <c r="C141" t="s">
        <v>25</v>
      </c>
      <c r="D141" t="s">
        <v>37</v>
      </c>
      <c r="E141" s="2">
        <v>0</v>
      </c>
      <c r="F141" s="2">
        <v>0</v>
      </c>
      <c r="G141" s="2">
        <v>0</v>
      </c>
      <c r="H141" s="22">
        <v>0</v>
      </c>
      <c r="I141">
        <v>0</v>
      </c>
      <c r="J141" s="2">
        <v>0</v>
      </c>
      <c r="K141">
        <v>0</v>
      </c>
      <c r="L141" s="22">
        <v>0</v>
      </c>
    </row>
    <row r="142" spans="1:12" x14ac:dyDescent="0.25">
      <c r="A142" t="s">
        <v>38</v>
      </c>
      <c r="B142" t="s">
        <v>39</v>
      </c>
      <c r="C142" t="s">
        <v>40</v>
      </c>
      <c r="D142" t="s">
        <v>41</v>
      </c>
      <c r="E142" s="2">
        <v>543</v>
      </c>
      <c r="F142" s="2">
        <v>62</v>
      </c>
      <c r="G142" s="2">
        <v>714</v>
      </c>
      <c r="H142" s="22">
        <v>3707866</v>
      </c>
      <c r="I142">
        <v>114</v>
      </c>
      <c r="J142" s="2">
        <v>30</v>
      </c>
      <c r="K142">
        <v>351</v>
      </c>
      <c r="L142" s="22">
        <v>1417090</v>
      </c>
    </row>
    <row r="143" spans="1:12" x14ac:dyDescent="0.25">
      <c r="A143" t="s">
        <v>42</v>
      </c>
      <c r="B143" t="s">
        <v>39</v>
      </c>
      <c r="C143" t="s">
        <v>40</v>
      </c>
      <c r="D143" t="s">
        <v>41</v>
      </c>
      <c r="E143" s="2">
        <v>466</v>
      </c>
      <c r="F143" s="2">
        <v>65</v>
      </c>
      <c r="G143" s="2">
        <v>881</v>
      </c>
      <c r="H143" s="22">
        <v>17691439</v>
      </c>
      <c r="I143">
        <v>136</v>
      </c>
      <c r="J143" s="2">
        <v>35</v>
      </c>
      <c r="K143">
        <v>577</v>
      </c>
      <c r="L143" s="22">
        <v>8179379</v>
      </c>
    </row>
    <row r="144" spans="1:12" x14ac:dyDescent="0.25">
      <c r="A144" t="s">
        <v>43</v>
      </c>
      <c r="B144" t="s">
        <v>39</v>
      </c>
      <c r="C144" t="s">
        <v>40</v>
      </c>
      <c r="D144" t="s">
        <v>44</v>
      </c>
      <c r="E144" s="2">
        <v>330</v>
      </c>
      <c r="F144" s="2">
        <v>26</v>
      </c>
      <c r="G144" s="2">
        <v>813</v>
      </c>
      <c r="H144" s="22">
        <v>6733192</v>
      </c>
      <c r="I144">
        <v>91</v>
      </c>
      <c r="J144" s="2">
        <v>28</v>
      </c>
      <c r="K144">
        <v>671</v>
      </c>
      <c r="L144" s="22">
        <v>4097150</v>
      </c>
    </row>
    <row r="145" spans="1:12" x14ac:dyDescent="0.25">
      <c r="A145" t="s">
        <v>45</v>
      </c>
      <c r="B145" t="s">
        <v>39</v>
      </c>
      <c r="C145" t="s">
        <v>40</v>
      </c>
      <c r="D145" t="s">
        <v>41</v>
      </c>
      <c r="E145" s="2">
        <v>349</v>
      </c>
      <c r="F145" s="2">
        <v>36</v>
      </c>
      <c r="G145" s="2">
        <v>198</v>
      </c>
      <c r="H145" s="22">
        <v>2027387</v>
      </c>
      <c r="I145">
        <v>76</v>
      </c>
      <c r="J145" s="2">
        <v>23</v>
      </c>
      <c r="K145">
        <v>70</v>
      </c>
      <c r="L145" s="22">
        <v>1052730</v>
      </c>
    </row>
    <row r="146" spans="1:12" x14ac:dyDescent="0.25">
      <c r="A146" t="s">
        <v>46</v>
      </c>
      <c r="B146" t="s">
        <v>39</v>
      </c>
      <c r="C146" t="s">
        <v>40</v>
      </c>
      <c r="D146" t="s">
        <v>47</v>
      </c>
      <c r="E146" s="2">
        <v>336</v>
      </c>
      <c r="F146" s="2">
        <v>37</v>
      </c>
      <c r="G146" s="2">
        <v>384</v>
      </c>
      <c r="H146" s="22">
        <v>5469998</v>
      </c>
      <c r="I146">
        <v>64</v>
      </c>
      <c r="J146" s="2">
        <v>25</v>
      </c>
      <c r="K146">
        <v>247</v>
      </c>
      <c r="L146" s="22">
        <v>2917315</v>
      </c>
    </row>
    <row r="147" spans="1:12" x14ac:dyDescent="0.25">
      <c r="A147" t="s">
        <v>48</v>
      </c>
      <c r="B147" t="s">
        <v>39</v>
      </c>
      <c r="C147" t="s">
        <v>40</v>
      </c>
      <c r="D147" t="s">
        <v>49</v>
      </c>
      <c r="E147" s="2">
        <v>147</v>
      </c>
      <c r="F147" s="2">
        <v>20</v>
      </c>
      <c r="G147" s="2">
        <v>148</v>
      </c>
      <c r="H147" s="22">
        <v>1923800</v>
      </c>
      <c r="I147">
        <v>35</v>
      </c>
      <c r="J147" s="2">
        <v>10</v>
      </c>
      <c r="K147">
        <v>83</v>
      </c>
      <c r="L147" s="22">
        <v>779850</v>
      </c>
    </row>
    <row r="148" spans="1:12" x14ac:dyDescent="0.25">
      <c r="A148" t="s">
        <v>50</v>
      </c>
      <c r="B148" t="s">
        <v>39</v>
      </c>
      <c r="C148" t="s">
        <v>40</v>
      </c>
      <c r="D148" t="s">
        <v>49</v>
      </c>
      <c r="E148" s="2">
        <v>391</v>
      </c>
      <c r="F148" s="2">
        <v>22</v>
      </c>
      <c r="G148" s="2">
        <v>197</v>
      </c>
      <c r="H148" s="22">
        <v>5899070</v>
      </c>
      <c r="I148">
        <v>46</v>
      </c>
      <c r="J148" s="2">
        <v>14</v>
      </c>
      <c r="K148">
        <v>111</v>
      </c>
      <c r="L148" s="22">
        <v>1112350</v>
      </c>
    </row>
    <row r="149" spans="1:12" x14ac:dyDescent="0.25">
      <c r="A149" t="s">
        <v>51</v>
      </c>
      <c r="B149" t="s">
        <v>52</v>
      </c>
      <c r="C149" t="s">
        <v>40</v>
      </c>
      <c r="D149" t="s">
        <v>53</v>
      </c>
      <c r="E149" s="2">
        <v>511</v>
      </c>
      <c r="F149" s="2">
        <v>60</v>
      </c>
      <c r="G149" s="2">
        <v>864</v>
      </c>
      <c r="H149" s="22">
        <v>12200340</v>
      </c>
      <c r="I149">
        <v>99</v>
      </c>
      <c r="J149" s="2">
        <v>24</v>
      </c>
      <c r="K149">
        <v>462</v>
      </c>
      <c r="L149" s="22">
        <v>4742136</v>
      </c>
    </row>
    <row r="150" spans="1:12" x14ac:dyDescent="0.25">
      <c r="A150" t="s">
        <v>54</v>
      </c>
      <c r="B150" t="s">
        <v>52</v>
      </c>
      <c r="C150" t="s">
        <v>40</v>
      </c>
      <c r="D150" t="s">
        <v>53</v>
      </c>
      <c r="E150" s="2">
        <v>0</v>
      </c>
      <c r="F150" s="2">
        <v>0</v>
      </c>
      <c r="G150" s="2">
        <v>0</v>
      </c>
      <c r="H150" s="22">
        <v>0</v>
      </c>
      <c r="I150">
        <v>13</v>
      </c>
      <c r="J150" s="2">
        <v>8</v>
      </c>
      <c r="K150">
        <v>0</v>
      </c>
      <c r="L150" s="22">
        <v>0</v>
      </c>
    </row>
    <row r="151" spans="1:12" x14ac:dyDescent="0.25">
      <c r="A151" t="s">
        <v>55</v>
      </c>
      <c r="B151" t="s">
        <v>52</v>
      </c>
      <c r="C151" t="s">
        <v>40</v>
      </c>
      <c r="D151" t="s">
        <v>56</v>
      </c>
      <c r="E151" s="2">
        <v>232</v>
      </c>
      <c r="F151" s="2">
        <v>38</v>
      </c>
      <c r="G151" s="2">
        <v>375</v>
      </c>
      <c r="H151" s="22">
        <v>5331066</v>
      </c>
      <c r="I151">
        <v>100</v>
      </c>
      <c r="J151" s="2">
        <v>20</v>
      </c>
      <c r="K151">
        <v>177</v>
      </c>
      <c r="L151" s="22">
        <v>2264260</v>
      </c>
    </row>
    <row r="152" spans="1:12" x14ac:dyDescent="0.25">
      <c r="A152" t="s">
        <v>57</v>
      </c>
      <c r="B152" t="s">
        <v>52</v>
      </c>
      <c r="C152" t="s">
        <v>40</v>
      </c>
      <c r="D152" t="s">
        <v>53</v>
      </c>
      <c r="E152" s="2">
        <v>384</v>
      </c>
      <c r="F152" s="2">
        <v>63</v>
      </c>
      <c r="G152" s="2">
        <v>456</v>
      </c>
      <c r="H152" s="22">
        <v>5515065</v>
      </c>
      <c r="I152">
        <v>81</v>
      </c>
      <c r="J152" s="2">
        <v>32</v>
      </c>
      <c r="K152">
        <v>210</v>
      </c>
      <c r="L152" s="22">
        <v>2634780</v>
      </c>
    </row>
    <row r="153" spans="1:12" x14ac:dyDescent="0.25">
      <c r="A153" t="s">
        <v>58</v>
      </c>
      <c r="B153" t="s">
        <v>52</v>
      </c>
      <c r="C153" t="s">
        <v>40</v>
      </c>
      <c r="D153" t="s">
        <v>53</v>
      </c>
      <c r="E153" s="2">
        <v>291</v>
      </c>
      <c r="F153" s="2">
        <v>42</v>
      </c>
      <c r="G153" s="2">
        <v>354</v>
      </c>
      <c r="H153" s="22">
        <v>7912017</v>
      </c>
      <c r="I153">
        <v>89</v>
      </c>
      <c r="J153" s="2">
        <v>24</v>
      </c>
      <c r="K153">
        <v>168</v>
      </c>
      <c r="L153" s="22">
        <v>3744400</v>
      </c>
    </row>
    <row r="154" spans="1:12" x14ac:dyDescent="0.25">
      <c r="A154" t="s">
        <v>59</v>
      </c>
      <c r="B154" t="s">
        <v>60</v>
      </c>
      <c r="C154" t="s">
        <v>40</v>
      </c>
      <c r="D154" t="s">
        <v>61</v>
      </c>
      <c r="E154" s="2">
        <v>566</v>
      </c>
      <c r="F154" s="2">
        <v>25</v>
      </c>
      <c r="G154" s="2">
        <v>261</v>
      </c>
      <c r="H154" s="22">
        <v>3456475</v>
      </c>
      <c r="I154">
        <v>60</v>
      </c>
      <c r="J154" s="2">
        <v>13</v>
      </c>
      <c r="K154">
        <v>149</v>
      </c>
      <c r="L154" s="22">
        <v>1570835</v>
      </c>
    </row>
    <row r="155" spans="1:12" x14ac:dyDescent="0.25">
      <c r="A155" t="s">
        <v>62</v>
      </c>
      <c r="B155" t="s">
        <v>60</v>
      </c>
      <c r="C155" t="s">
        <v>40</v>
      </c>
      <c r="D155" t="s">
        <v>61</v>
      </c>
      <c r="E155" s="2">
        <v>267</v>
      </c>
      <c r="F155" s="2">
        <v>24</v>
      </c>
      <c r="G155" s="2">
        <v>253</v>
      </c>
      <c r="H155" s="22">
        <v>3028340</v>
      </c>
      <c r="I155">
        <v>47</v>
      </c>
      <c r="J155" s="2">
        <v>16</v>
      </c>
      <c r="K155">
        <v>136</v>
      </c>
      <c r="L155" s="22">
        <v>1317110</v>
      </c>
    </row>
    <row r="156" spans="1:12" x14ac:dyDescent="0.25">
      <c r="A156" t="s">
        <v>63</v>
      </c>
      <c r="B156" t="s">
        <v>60</v>
      </c>
      <c r="C156" t="s">
        <v>40</v>
      </c>
      <c r="D156" t="s">
        <v>61</v>
      </c>
      <c r="E156" s="2">
        <v>275</v>
      </c>
      <c r="F156" s="2">
        <v>14</v>
      </c>
      <c r="G156" s="2">
        <v>209</v>
      </c>
      <c r="H156" s="22">
        <v>1967290</v>
      </c>
      <c r="I156">
        <v>36</v>
      </c>
      <c r="J156" s="2">
        <v>14</v>
      </c>
      <c r="K156">
        <v>128</v>
      </c>
      <c r="L156" s="22">
        <v>1011220</v>
      </c>
    </row>
    <row r="157" spans="1:12" x14ac:dyDescent="0.25">
      <c r="A157" t="s">
        <v>64</v>
      </c>
      <c r="B157" t="s">
        <v>65</v>
      </c>
      <c r="C157" t="s">
        <v>40</v>
      </c>
      <c r="D157" t="s">
        <v>66</v>
      </c>
      <c r="E157" s="2">
        <v>164</v>
      </c>
      <c r="F157" s="2">
        <v>35</v>
      </c>
      <c r="G157" s="2">
        <v>682</v>
      </c>
      <c r="H157" s="22">
        <v>9002341</v>
      </c>
      <c r="I157">
        <v>74</v>
      </c>
      <c r="J157" s="2">
        <v>30</v>
      </c>
      <c r="K157">
        <v>412</v>
      </c>
      <c r="L157" s="22">
        <v>4515830</v>
      </c>
    </row>
    <row r="158" spans="1:12" x14ac:dyDescent="0.25">
      <c r="A158" t="s">
        <v>67</v>
      </c>
      <c r="B158" t="s">
        <v>68</v>
      </c>
      <c r="C158" t="s">
        <v>40</v>
      </c>
      <c r="D158" t="s">
        <v>69</v>
      </c>
      <c r="E158" s="2">
        <v>108</v>
      </c>
      <c r="F158" s="2">
        <v>15</v>
      </c>
      <c r="G158" s="2">
        <v>109</v>
      </c>
      <c r="H158" s="22">
        <v>1487710</v>
      </c>
      <c r="I158">
        <v>48</v>
      </c>
      <c r="J158" s="2">
        <v>10</v>
      </c>
      <c r="K158">
        <v>50</v>
      </c>
      <c r="L158" s="22">
        <v>229260</v>
      </c>
    </row>
    <row r="159" spans="1:12" x14ac:dyDescent="0.25">
      <c r="A159" t="s">
        <v>70</v>
      </c>
      <c r="B159" t="s">
        <v>68</v>
      </c>
      <c r="C159" t="s">
        <v>40</v>
      </c>
      <c r="D159" t="s">
        <v>66</v>
      </c>
      <c r="E159" s="2">
        <v>298</v>
      </c>
      <c r="F159" s="2">
        <v>34</v>
      </c>
      <c r="G159" s="2">
        <v>383</v>
      </c>
      <c r="H159" s="22">
        <v>3764508</v>
      </c>
      <c r="I159">
        <v>100</v>
      </c>
      <c r="J159" s="2">
        <v>23</v>
      </c>
      <c r="K159">
        <v>220</v>
      </c>
      <c r="L159" s="22">
        <v>1866100</v>
      </c>
    </row>
    <row r="160" spans="1:12" x14ac:dyDescent="0.25">
      <c r="A160" t="s">
        <v>71</v>
      </c>
      <c r="B160" t="s">
        <v>65</v>
      </c>
      <c r="C160" t="s">
        <v>40</v>
      </c>
      <c r="D160" t="s">
        <v>66</v>
      </c>
      <c r="E160" s="2">
        <v>311</v>
      </c>
      <c r="F160" s="2">
        <v>35</v>
      </c>
      <c r="G160" s="2">
        <v>577</v>
      </c>
      <c r="H160" s="22">
        <v>7305930</v>
      </c>
      <c r="I160">
        <v>91</v>
      </c>
      <c r="J160" s="2">
        <v>27</v>
      </c>
      <c r="K160">
        <v>398</v>
      </c>
      <c r="L160" s="22">
        <v>4257034</v>
      </c>
    </row>
    <row r="161" spans="1:12" x14ac:dyDescent="0.25">
      <c r="A161" t="s">
        <v>72</v>
      </c>
      <c r="B161" t="s">
        <v>65</v>
      </c>
      <c r="C161" t="s">
        <v>40</v>
      </c>
      <c r="D161" t="s">
        <v>66</v>
      </c>
      <c r="E161" s="2">
        <v>115</v>
      </c>
      <c r="F161" s="2">
        <v>12</v>
      </c>
      <c r="G161" s="2">
        <v>72</v>
      </c>
      <c r="H161" s="22">
        <v>1048800</v>
      </c>
      <c r="I161">
        <v>41</v>
      </c>
      <c r="J161" s="2">
        <v>10</v>
      </c>
      <c r="K161">
        <v>55</v>
      </c>
      <c r="L161" s="22">
        <v>545450</v>
      </c>
    </row>
    <row r="162" spans="1:12" x14ac:dyDescent="0.25">
      <c r="A162" t="s">
        <v>73</v>
      </c>
      <c r="B162" t="s">
        <v>68</v>
      </c>
      <c r="C162" t="s">
        <v>40</v>
      </c>
      <c r="D162" t="s">
        <v>69</v>
      </c>
      <c r="E162" s="2">
        <v>462</v>
      </c>
      <c r="F162" s="2">
        <v>135</v>
      </c>
      <c r="G162" s="2">
        <v>1513</v>
      </c>
      <c r="H162" s="22">
        <v>15001874</v>
      </c>
      <c r="I162">
        <v>167</v>
      </c>
      <c r="J162" s="2">
        <v>66</v>
      </c>
      <c r="K162">
        <v>801</v>
      </c>
      <c r="L162" s="22">
        <v>6564269</v>
      </c>
    </row>
    <row r="163" spans="1:12" x14ac:dyDescent="0.25">
      <c r="A163" t="s">
        <v>74</v>
      </c>
      <c r="B163" t="s">
        <v>68</v>
      </c>
      <c r="C163" t="s">
        <v>40</v>
      </c>
      <c r="D163" t="s">
        <v>69</v>
      </c>
      <c r="E163" s="2">
        <v>142</v>
      </c>
      <c r="F163" s="2">
        <v>26</v>
      </c>
      <c r="G163" s="2">
        <v>264</v>
      </c>
      <c r="H163" s="22">
        <v>3030707</v>
      </c>
      <c r="I163">
        <v>60</v>
      </c>
      <c r="J163" s="2">
        <v>21</v>
      </c>
      <c r="K163">
        <v>149</v>
      </c>
      <c r="L163" s="22">
        <v>1413880</v>
      </c>
    </row>
    <row r="164" spans="1:12" x14ac:dyDescent="0.25">
      <c r="A164" t="s">
        <v>75</v>
      </c>
      <c r="B164" t="s">
        <v>76</v>
      </c>
      <c r="C164" t="s">
        <v>40</v>
      </c>
      <c r="D164" t="s">
        <v>77</v>
      </c>
      <c r="E164" s="2">
        <v>393</v>
      </c>
      <c r="F164" s="2">
        <v>58</v>
      </c>
      <c r="G164" s="2">
        <v>1284</v>
      </c>
      <c r="H164" s="22">
        <v>20392721</v>
      </c>
      <c r="I164">
        <v>114</v>
      </c>
      <c r="J164" s="2">
        <v>57</v>
      </c>
      <c r="K164">
        <v>1006</v>
      </c>
      <c r="L164" s="22">
        <v>13150995</v>
      </c>
    </row>
    <row r="165" spans="1:12" x14ac:dyDescent="0.25">
      <c r="A165" t="s">
        <v>78</v>
      </c>
      <c r="B165" t="s">
        <v>76</v>
      </c>
      <c r="C165" t="s">
        <v>40</v>
      </c>
      <c r="D165" t="s">
        <v>77</v>
      </c>
      <c r="E165" s="2">
        <v>550</v>
      </c>
      <c r="F165" s="2">
        <v>68</v>
      </c>
      <c r="G165" s="2">
        <v>1148</v>
      </c>
      <c r="H165" s="22">
        <v>13375338</v>
      </c>
      <c r="I165">
        <v>149</v>
      </c>
      <c r="J165" s="2">
        <v>56</v>
      </c>
      <c r="K165">
        <v>775</v>
      </c>
      <c r="L165" s="22">
        <v>7328780</v>
      </c>
    </row>
    <row r="166" spans="1:12" x14ac:dyDescent="0.25">
      <c r="A166" t="s">
        <v>79</v>
      </c>
      <c r="B166" t="s">
        <v>76</v>
      </c>
      <c r="C166" t="s">
        <v>40</v>
      </c>
      <c r="D166" t="s">
        <v>80</v>
      </c>
      <c r="E166" s="2">
        <v>321</v>
      </c>
      <c r="F166" s="2">
        <v>62</v>
      </c>
      <c r="G166" s="2">
        <v>1712</v>
      </c>
      <c r="H166" s="22">
        <v>27461325</v>
      </c>
      <c r="I166">
        <v>118</v>
      </c>
      <c r="J166" s="2">
        <v>56</v>
      </c>
      <c r="K166">
        <v>1143</v>
      </c>
      <c r="L166" s="22">
        <v>13117758</v>
      </c>
    </row>
    <row r="167" spans="1:12" x14ac:dyDescent="0.25">
      <c r="A167" t="s">
        <v>81</v>
      </c>
      <c r="B167" t="s">
        <v>76</v>
      </c>
      <c r="C167" t="s">
        <v>40</v>
      </c>
      <c r="D167" t="s">
        <v>80</v>
      </c>
      <c r="E167" s="2">
        <v>0</v>
      </c>
      <c r="F167" s="2">
        <v>0</v>
      </c>
      <c r="G167" s="2">
        <v>0</v>
      </c>
      <c r="H167" s="22">
        <v>0</v>
      </c>
      <c r="I167">
        <v>0</v>
      </c>
      <c r="J167" s="2">
        <v>0</v>
      </c>
      <c r="K167">
        <v>0</v>
      </c>
      <c r="L167" s="22">
        <v>0</v>
      </c>
    </row>
    <row r="168" spans="1:12" x14ac:dyDescent="0.25">
      <c r="A168" t="s">
        <v>82</v>
      </c>
      <c r="B168" t="s">
        <v>76</v>
      </c>
      <c r="C168" t="s">
        <v>40</v>
      </c>
      <c r="D168" t="s">
        <v>83</v>
      </c>
      <c r="E168" s="2">
        <v>239</v>
      </c>
      <c r="F168" s="2">
        <v>21</v>
      </c>
      <c r="G168" s="2">
        <v>391</v>
      </c>
      <c r="H168" s="22">
        <v>3767100</v>
      </c>
      <c r="I168">
        <v>59</v>
      </c>
      <c r="J168" s="2">
        <v>18</v>
      </c>
      <c r="K168">
        <v>225</v>
      </c>
      <c r="L168" s="22">
        <v>2593140</v>
      </c>
    </row>
    <row r="169" spans="1:12" x14ac:dyDescent="0.25">
      <c r="A169" t="s">
        <v>84</v>
      </c>
      <c r="B169" t="s">
        <v>85</v>
      </c>
      <c r="C169" t="s">
        <v>40</v>
      </c>
      <c r="D169" t="s">
        <v>86</v>
      </c>
      <c r="E169" s="2">
        <v>0</v>
      </c>
      <c r="F169" s="2">
        <v>0</v>
      </c>
      <c r="G169" s="2">
        <v>0</v>
      </c>
      <c r="H169" s="22">
        <v>0</v>
      </c>
      <c r="I169">
        <v>0</v>
      </c>
      <c r="J169" s="2">
        <v>0</v>
      </c>
      <c r="K169">
        <v>0</v>
      </c>
      <c r="L169" s="22">
        <v>0</v>
      </c>
    </row>
    <row r="170" spans="1:12" x14ac:dyDescent="0.25">
      <c r="A170" t="s">
        <v>87</v>
      </c>
      <c r="B170" t="s">
        <v>85</v>
      </c>
      <c r="C170" t="s">
        <v>40</v>
      </c>
      <c r="D170" t="s">
        <v>88</v>
      </c>
      <c r="E170" s="2">
        <v>327</v>
      </c>
      <c r="F170" s="2">
        <v>60</v>
      </c>
      <c r="G170" s="2">
        <v>1398</v>
      </c>
      <c r="H170" s="22">
        <v>21625701</v>
      </c>
      <c r="I170">
        <v>97</v>
      </c>
      <c r="J170" s="2">
        <v>55</v>
      </c>
      <c r="K170">
        <v>682</v>
      </c>
      <c r="L170" s="22">
        <v>8232325</v>
      </c>
    </row>
    <row r="171" spans="1:12" x14ac:dyDescent="0.25">
      <c r="A171" t="s">
        <v>89</v>
      </c>
      <c r="B171" t="s">
        <v>90</v>
      </c>
      <c r="C171" t="s">
        <v>91</v>
      </c>
      <c r="D171" t="s">
        <v>92</v>
      </c>
      <c r="E171" s="2">
        <v>310</v>
      </c>
      <c r="F171" s="2">
        <v>81</v>
      </c>
      <c r="G171" s="2">
        <v>1938</v>
      </c>
      <c r="H171" s="22">
        <v>23932466</v>
      </c>
      <c r="I171">
        <v>147</v>
      </c>
      <c r="J171" s="2">
        <v>73</v>
      </c>
      <c r="K171">
        <v>1408</v>
      </c>
      <c r="L171" s="22">
        <v>14051440</v>
      </c>
    </row>
    <row r="172" spans="1:12" x14ac:dyDescent="0.25">
      <c r="A172" t="s">
        <v>93</v>
      </c>
      <c r="B172" t="s">
        <v>90</v>
      </c>
      <c r="C172" t="s">
        <v>91</v>
      </c>
      <c r="D172" t="s">
        <v>92</v>
      </c>
      <c r="E172" s="2">
        <v>519</v>
      </c>
      <c r="F172" s="2">
        <v>129</v>
      </c>
      <c r="G172" s="2">
        <v>2963</v>
      </c>
      <c r="H172" s="22">
        <v>38539432</v>
      </c>
      <c r="I172">
        <v>215</v>
      </c>
      <c r="J172" s="2">
        <v>104</v>
      </c>
      <c r="K172">
        <v>1892</v>
      </c>
      <c r="L172" s="22">
        <v>19194165</v>
      </c>
    </row>
    <row r="173" spans="1:12" x14ac:dyDescent="0.25">
      <c r="A173" t="s">
        <v>94</v>
      </c>
      <c r="B173" t="s">
        <v>95</v>
      </c>
      <c r="C173" t="s">
        <v>91</v>
      </c>
      <c r="D173" t="s">
        <v>92</v>
      </c>
      <c r="E173" s="2">
        <v>202</v>
      </c>
      <c r="F173" s="2">
        <v>51</v>
      </c>
      <c r="G173" s="2">
        <v>1010</v>
      </c>
      <c r="H173" s="22">
        <v>9817955</v>
      </c>
      <c r="I173">
        <v>90</v>
      </c>
      <c r="J173" s="2">
        <v>38</v>
      </c>
      <c r="K173">
        <v>724</v>
      </c>
      <c r="L173" s="22">
        <v>4482150</v>
      </c>
    </row>
    <row r="174" spans="1:12" x14ac:dyDescent="0.25">
      <c r="A174" t="s">
        <v>96</v>
      </c>
      <c r="B174" t="s">
        <v>95</v>
      </c>
      <c r="C174" t="s">
        <v>91</v>
      </c>
      <c r="D174" t="s">
        <v>92</v>
      </c>
      <c r="E174" s="2">
        <v>203</v>
      </c>
      <c r="F174" s="2">
        <v>48</v>
      </c>
      <c r="G174" s="2">
        <v>1054</v>
      </c>
      <c r="H174" s="22">
        <v>11620690</v>
      </c>
      <c r="I174">
        <v>82</v>
      </c>
      <c r="J174" s="2">
        <v>49</v>
      </c>
      <c r="K174">
        <v>651</v>
      </c>
      <c r="L174" s="22">
        <v>5525360</v>
      </c>
    </row>
    <row r="175" spans="1:12" x14ac:dyDescent="0.25">
      <c r="A175" t="s">
        <v>97</v>
      </c>
      <c r="B175" t="s">
        <v>95</v>
      </c>
      <c r="C175" t="s">
        <v>91</v>
      </c>
      <c r="D175" t="s">
        <v>92</v>
      </c>
      <c r="E175" s="2">
        <v>351</v>
      </c>
      <c r="F175" s="2">
        <v>77</v>
      </c>
      <c r="G175" s="2">
        <v>1495</v>
      </c>
      <c r="H175" s="22">
        <v>18616301</v>
      </c>
      <c r="I175">
        <v>129</v>
      </c>
      <c r="J175" s="2">
        <v>66</v>
      </c>
      <c r="K175">
        <v>1015</v>
      </c>
      <c r="L175" s="22">
        <v>9861566</v>
      </c>
    </row>
    <row r="176" spans="1:12" x14ac:dyDescent="0.25">
      <c r="A176" t="s">
        <v>98</v>
      </c>
      <c r="B176" t="s">
        <v>95</v>
      </c>
      <c r="C176" t="s">
        <v>91</v>
      </c>
      <c r="D176" t="s">
        <v>92</v>
      </c>
      <c r="E176" s="2">
        <v>0</v>
      </c>
      <c r="F176" s="2">
        <v>0</v>
      </c>
      <c r="G176" s="2">
        <v>0</v>
      </c>
      <c r="H176" s="22">
        <v>0</v>
      </c>
      <c r="I176">
        <v>11</v>
      </c>
      <c r="J176" s="2">
        <v>5</v>
      </c>
      <c r="K176">
        <v>0</v>
      </c>
      <c r="L176" s="22">
        <v>0</v>
      </c>
    </row>
    <row r="177" spans="1:12" x14ac:dyDescent="0.25">
      <c r="A177" t="s">
        <v>99</v>
      </c>
      <c r="B177" t="s">
        <v>95</v>
      </c>
      <c r="C177" t="s">
        <v>91</v>
      </c>
      <c r="D177" t="s">
        <v>92</v>
      </c>
      <c r="E177" s="2">
        <v>9</v>
      </c>
      <c r="F177" s="2">
        <v>4</v>
      </c>
      <c r="G177" s="2">
        <v>45</v>
      </c>
      <c r="H177" s="22">
        <v>872610</v>
      </c>
      <c r="I177">
        <v>18</v>
      </c>
      <c r="J177" s="2">
        <v>13</v>
      </c>
      <c r="K177">
        <v>33</v>
      </c>
      <c r="L177" s="22">
        <v>491810</v>
      </c>
    </row>
    <row r="178" spans="1:12" x14ac:dyDescent="0.25">
      <c r="A178" t="s">
        <v>100</v>
      </c>
      <c r="B178" t="s">
        <v>90</v>
      </c>
      <c r="C178" t="s">
        <v>91</v>
      </c>
      <c r="D178" t="s">
        <v>92</v>
      </c>
      <c r="E178" s="2">
        <v>7</v>
      </c>
      <c r="F178" s="2">
        <v>7</v>
      </c>
      <c r="G178" s="2">
        <v>48</v>
      </c>
      <c r="H178" s="22">
        <v>411250</v>
      </c>
      <c r="I178">
        <v>46</v>
      </c>
      <c r="J178" s="2">
        <v>31</v>
      </c>
      <c r="K178">
        <v>27</v>
      </c>
      <c r="L178" s="22">
        <v>202350</v>
      </c>
    </row>
    <row r="179" spans="1:12" x14ac:dyDescent="0.25">
      <c r="A179" t="s">
        <v>101</v>
      </c>
      <c r="B179" t="s">
        <v>90</v>
      </c>
      <c r="C179" t="s">
        <v>91</v>
      </c>
      <c r="D179" t="s">
        <v>92</v>
      </c>
      <c r="E179" s="2">
        <v>3</v>
      </c>
      <c r="F179" s="2">
        <v>0</v>
      </c>
      <c r="G179" s="2">
        <v>0</v>
      </c>
      <c r="H179" s="22">
        <v>0</v>
      </c>
      <c r="I179">
        <v>4</v>
      </c>
      <c r="J179" s="2">
        <v>1</v>
      </c>
      <c r="K179">
        <v>0</v>
      </c>
      <c r="L179" s="22">
        <v>0</v>
      </c>
    </row>
    <row r="180" spans="1:12" x14ac:dyDescent="0.25">
      <c r="A180" t="s">
        <v>102</v>
      </c>
      <c r="B180" t="s">
        <v>90</v>
      </c>
      <c r="C180" t="s">
        <v>91</v>
      </c>
      <c r="D180" t="s">
        <v>92</v>
      </c>
      <c r="E180" s="2">
        <v>461</v>
      </c>
      <c r="F180" s="2">
        <v>107</v>
      </c>
      <c r="G180" s="2">
        <v>1422</v>
      </c>
      <c r="H180" s="22">
        <v>23119673</v>
      </c>
      <c r="I180">
        <v>173</v>
      </c>
      <c r="J180" s="2">
        <v>87</v>
      </c>
      <c r="K180">
        <v>892</v>
      </c>
      <c r="L180" s="22">
        <v>11820690</v>
      </c>
    </row>
    <row r="181" spans="1:12" x14ac:dyDescent="0.25">
      <c r="A181" t="s">
        <v>103</v>
      </c>
      <c r="B181" t="s">
        <v>90</v>
      </c>
      <c r="C181" t="s">
        <v>91</v>
      </c>
      <c r="D181" t="s">
        <v>92</v>
      </c>
      <c r="E181" s="2">
        <v>679</v>
      </c>
      <c r="F181" s="2">
        <v>107</v>
      </c>
      <c r="G181" s="2">
        <v>1135</v>
      </c>
      <c r="H181" s="22">
        <v>16263592</v>
      </c>
      <c r="I181">
        <v>166</v>
      </c>
      <c r="J181" s="2">
        <v>69</v>
      </c>
      <c r="K181">
        <v>686</v>
      </c>
      <c r="L181" s="22">
        <v>6652897</v>
      </c>
    </row>
    <row r="182" spans="1:12" x14ac:dyDescent="0.25">
      <c r="A182" t="s">
        <v>104</v>
      </c>
      <c r="B182" t="s">
        <v>105</v>
      </c>
      <c r="C182" t="s">
        <v>91</v>
      </c>
      <c r="D182" t="s">
        <v>106</v>
      </c>
      <c r="E182" s="2">
        <v>291</v>
      </c>
      <c r="F182" s="2">
        <v>71</v>
      </c>
      <c r="G182" s="2">
        <v>914</v>
      </c>
      <c r="H182" s="22">
        <v>14921402</v>
      </c>
      <c r="I182">
        <v>135</v>
      </c>
      <c r="J182" s="2">
        <v>50</v>
      </c>
      <c r="K182">
        <v>498</v>
      </c>
      <c r="L182" s="22">
        <v>5380050</v>
      </c>
    </row>
    <row r="183" spans="1:12" x14ac:dyDescent="0.25">
      <c r="A183" t="s">
        <v>107</v>
      </c>
      <c r="B183" t="s">
        <v>105</v>
      </c>
      <c r="C183" t="s">
        <v>91</v>
      </c>
      <c r="D183" t="s">
        <v>106</v>
      </c>
      <c r="E183" s="2">
        <v>384</v>
      </c>
      <c r="F183" s="2">
        <v>78</v>
      </c>
      <c r="G183" s="2">
        <v>1259</v>
      </c>
      <c r="H183" s="22">
        <v>16384165</v>
      </c>
      <c r="I183">
        <v>148</v>
      </c>
      <c r="J183" s="2">
        <v>76</v>
      </c>
      <c r="K183">
        <v>948</v>
      </c>
      <c r="L183" s="22">
        <v>8054700</v>
      </c>
    </row>
    <row r="184" spans="1:12" x14ac:dyDescent="0.25">
      <c r="A184" t="s">
        <v>108</v>
      </c>
      <c r="B184" t="s">
        <v>105</v>
      </c>
      <c r="C184" t="s">
        <v>91</v>
      </c>
      <c r="D184" t="s">
        <v>106</v>
      </c>
      <c r="E184" s="2">
        <v>811</v>
      </c>
      <c r="F184" s="2">
        <v>194</v>
      </c>
      <c r="G184" s="2">
        <v>1457</v>
      </c>
      <c r="H184" s="22">
        <v>29416322</v>
      </c>
      <c r="I184">
        <v>222</v>
      </c>
      <c r="J184" s="2">
        <v>71</v>
      </c>
      <c r="K184">
        <v>634</v>
      </c>
      <c r="L184" s="22">
        <v>10419790</v>
      </c>
    </row>
    <row r="185" spans="1:12" x14ac:dyDescent="0.25">
      <c r="A185" t="s">
        <v>109</v>
      </c>
      <c r="B185" t="s">
        <v>90</v>
      </c>
      <c r="C185" t="s">
        <v>91</v>
      </c>
      <c r="D185" t="s">
        <v>110</v>
      </c>
      <c r="E185" s="2">
        <v>475</v>
      </c>
      <c r="F185" s="2">
        <v>78</v>
      </c>
      <c r="G185" s="2">
        <v>560</v>
      </c>
      <c r="H185" s="22">
        <v>4818318</v>
      </c>
      <c r="I185">
        <v>125</v>
      </c>
      <c r="J185" s="2">
        <v>31</v>
      </c>
      <c r="K185">
        <v>222</v>
      </c>
      <c r="L185" s="22">
        <v>1257420</v>
      </c>
    </row>
    <row r="186" spans="1:12" x14ac:dyDescent="0.25">
      <c r="A186" t="s">
        <v>111</v>
      </c>
      <c r="B186" t="s">
        <v>90</v>
      </c>
      <c r="C186" t="s">
        <v>91</v>
      </c>
      <c r="D186" t="s">
        <v>112</v>
      </c>
      <c r="E186" s="2">
        <v>117</v>
      </c>
      <c r="F186" s="2">
        <v>17</v>
      </c>
      <c r="G186" s="2">
        <v>437</v>
      </c>
      <c r="H186" s="22">
        <v>7365850</v>
      </c>
      <c r="I186">
        <v>36</v>
      </c>
      <c r="J186" s="2">
        <v>18</v>
      </c>
      <c r="K186">
        <v>210</v>
      </c>
      <c r="L186" s="22">
        <v>3694900</v>
      </c>
    </row>
    <row r="187" spans="1:12" x14ac:dyDescent="0.25">
      <c r="A187" t="s">
        <v>113</v>
      </c>
      <c r="B187" t="s">
        <v>105</v>
      </c>
      <c r="C187" t="s">
        <v>91</v>
      </c>
      <c r="D187" t="s">
        <v>114</v>
      </c>
      <c r="E187" s="2">
        <v>513</v>
      </c>
      <c r="F187" s="2">
        <v>168</v>
      </c>
      <c r="G187" s="2">
        <v>1519</v>
      </c>
      <c r="H187" s="22">
        <v>21525657</v>
      </c>
      <c r="I187">
        <v>153</v>
      </c>
      <c r="J187" s="2">
        <v>55</v>
      </c>
      <c r="K187">
        <v>573</v>
      </c>
      <c r="L187" s="22">
        <v>9177100</v>
      </c>
    </row>
    <row r="188" spans="1:12" x14ac:dyDescent="0.25">
      <c r="A188" t="s">
        <v>115</v>
      </c>
      <c r="B188" t="s">
        <v>116</v>
      </c>
      <c r="C188" t="s">
        <v>117</v>
      </c>
      <c r="D188" t="s">
        <v>118</v>
      </c>
      <c r="E188" s="2">
        <v>230</v>
      </c>
      <c r="F188" s="2">
        <v>46</v>
      </c>
      <c r="G188" s="2">
        <v>598</v>
      </c>
      <c r="H188" s="22">
        <v>8619832</v>
      </c>
      <c r="I188">
        <v>62</v>
      </c>
      <c r="J188" s="2">
        <v>27</v>
      </c>
      <c r="K188">
        <v>355</v>
      </c>
      <c r="L188" s="22">
        <v>3684820</v>
      </c>
    </row>
    <row r="189" spans="1:12" x14ac:dyDescent="0.25">
      <c r="A189" t="s">
        <v>119</v>
      </c>
      <c r="B189" t="s">
        <v>120</v>
      </c>
      <c r="C189" t="s">
        <v>117</v>
      </c>
      <c r="D189" t="s">
        <v>121</v>
      </c>
      <c r="E189" s="2">
        <v>4</v>
      </c>
      <c r="F189" s="2">
        <v>3</v>
      </c>
      <c r="G189" s="2">
        <v>9</v>
      </c>
      <c r="H189" s="22">
        <v>95500</v>
      </c>
      <c r="I189">
        <v>1</v>
      </c>
      <c r="J189" s="2">
        <v>1</v>
      </c>
      <c r="K189">
        <v>1</v>
      </c>
      <c r="L189" s="22">
        <v>1700</v>
      </c>
    </row>
    <row r="190" spans="1:12" x14ac:dyDescent="0.25">
      <c r="A190" t="s">
        <v>122</v>
      </c>
      <c r="B190" t="s">
        <v>116</v>
      </c>
      <c r="C190" t="s">
        <v>117</v>
      </c>
      <c r="D190" t="s">
        <v>121</v>
      </c>
      <c r="E190" s="2">
        <v>1</v>
      </c>
      <c r="F190" s="2">
        <v>0</v>
      </c>
      <c r="G190" s="2">
        <v>0</v>
      </c>
      <c r="H190" s="22">
        <v>0</v>
      </c>
      <c r="I190">
        <v>11</v>
      </c>
      <c r="J190" s="2">
        <v>8</v>
      </c>
      <c r="K190">
        <v>0</v>
      </c>
      <c r="L190" s="22">
        <v>0</v>
      </c>
    </row>
    <row r="191" spans="1:12" x14ac:dyDescent="0.25">
      <c r="A191" t="s">
        <v>123</v>
      </c>
      <c r="B191" t="s">
        <v>116</v>
      </c>
      <c r="C191" t="s">
        <v>117</v>
      </c>
      <c r="D191" t="s">
        <v>121</v>
      </c>
      <c r="E191" s="2">
        <v>0</v>
      </c>
      <c r="F191" s="2">
        <v>0</v>
      </c>
      <c r="G191" s="2">
        <v>0</v>
      </c>
      <c r="H191" s="22">
        <v>0</v>
      </c>
      <c r="I191">
        <v>0</v>
      </c>
      <c r="J191" s="2">
        <v>0</v>
      </c>
      <c r="K191">
        <v>0</v>
      </c>
      <c r="L191" s="22">
        <v>0</v>
      </c>
    </row>
    <row r="192" spans="1:12" x14ac:dyDescent="0.25">
      <c r="A192" t="s">
        <v>124</v>
      </c>
      <c r="B192" t="s">
        <v>116</v>
      </c>
      <c r="C192" t="s">
        <v>117</v>
      </c>
      <c r="D192" t="s">
        <v>121</v>
      </c>
      <c r="E192" s="2">
        <v>360</v>
      </c>
      <c r="F192" s="2">
        <v>54</v>
      </c>
      <c r="G192" s="2">
        <v>440</v>
      </c>
      <c r="H192" s="22">
        <v>8086414</v>
      </c>
      <c r="I192">
        <v>111</v>
      </c>
      <c r="J192" s="2">
        <v>19</v>
      </c>
      <c r="K192">
        <v>166</v>
      </c>
      <c r="L192" s="22">
        <v>3450350</v>
      </c>
    </row>
    <row r="193" spans="1:12" x14ac:dyDescent="0.25">
      <c r="A193" t="s">
        <v>125</v>
      </c>
      <c r="B193" t="s">
        <v>116</v>
      </c>
      <c r="C193" t="s">
        <v>117</v>
      </c>
      <c r="D193" t="s">
        <v>121</v>
      </c>
      <c r="E193" s="2">
        <v>460</v>
      </c>
      <c r="F193" s="2">
        <v>73</v>
      </c>
      <c r="G193" s="2">
        <v>629</v>
      </c>
      <c r="H193" s="22">
        <v>5542201</v>
      </c>
      <c r="I193">
        <v>85</v>
      </c>
      <c r="J193" s="2">
        <v>26</v>
      </c>
      <c r="K193">
        <v>230</v>
      </c>
      <c r="L193" s="22">
        <v>2499995</v>
      </c>
    </row>
    <row r="194" spans="1:12" x14ac:dyDescent="0.25">
      <c r="A194" t="s">
        <v>126</v>
      </c>
      <c r="B194" t="s">
        <v>120</v>
      </c>
      <c r="C194" t="s">
        <v>117</v>
      </c>
      <c r="D194" t="s">
        <v>121</v>
      </c>
      <c r="E194" s="2">
        <v>147</v>
      </c>
      <c r="F194" s="2">
        <v>22</v>
      </c>
      <c r="G194" s="2">
        <v>419</v>
      </c>
      <c r="H194" s="22">
        <v>2569664</v>
      </c>
      <c r="I194">
        <v>30</v>
      </c>
      <c r="J194" s="2">
        <v>10</v>
      </c>
      <c r="K194">
        <v>86</v>
      </c>
      <c r="L194" s="22">
        <v>1251950</v>
      </c>
    </row>
    <row r="195" spans="1:12" x14ac:dyDescent="0.25">
      <c r="A195" t="s">
        <v>127</v>
      </c>
      <c r="B195" t="s">
        <v>120</v>
      </c>
      <c r="C195" t="s">
        <v>117</v>
      </c>
      <c r="D195" t="s">
        <v>121</v>
      </c>
      <c r="E195" s="2">
        <v>3</v>
      </c>
      <c r="F195" s="2">
        <v>2</v>
      </c>
      <c r="G195" s="2">
        <v>5</v>
      </c>
      <c r="H195" s="22">
        <v>24650</v>
      </c>
      <c r="I195">
        <v>6</v>
      </c>
      <c r="J195" s="2">
        <v>5</v>
      </c>
      <c r="K195">
        <v>2</v>
      </c>
      <c r="L195" s="22">
        <v>1450</v>
      </c>
    </row>
    <row r="196" spans="1:12" x14ac:dyDescent="0.25">
      <c r="A196" t="s">
        <v>128</v>
      </c>
      <c r="B196" t="s">
        <v>129</v>
      </c>
      <c r="C196" t="s">
        <v>40</v>
      </c>
      <c r="D196" t="s">
        <v>130</v>
      </c>
      <c r="E196" s="2">
        <v>161</v>
      </c>
      <c r="F196" s="2">
        <v>38</v>
      </c>
      <c r="G196" s="2">
        <v>525</v>
      </c>
      <c r="H196" s="22">
        <v>11852730</v>
      </c>
      <c r="I196">
        <v>69</v>
      </c>
      <c r="J196" s="2">
        <v>19</v>
      </c>
      <c r="K196">
        <v>282</v>
      </c>
      <c r="L196" s="22">
        <v>5215880</v>
      </c>
    </row>
    <row r="197" spans="1:12" x14ac:dyDescent="0.25">
      <c r="A197" t="s">
        <v>131</v>
      </c>
      <c r="B197" t="s">
        <v>129</v>
      </c>
      <c r="C197" t="s">
        <v>40</v>
      </c>
      <c r="D197" t="s">
        <v>132</v>
      </c>
      <c r="E197" s="2">
        <v>94</v>
      </c>
      <c r="F197" s="2">
        <v>24</v>
      </c>
      <c r="G197" s="2">
        <v>399</v>
      </c>
      <c r="H197" s="22">
        <v>2918173</v>
      </c>
      <c r="I197">
        <v>43</v>
      </c>
      <c r="J197" s="2">
        <v>19</v>
      </c>
      <c r="K197">
        <v>177</v>
      </c>
      <c r="L197" s="22">
        <v>1632367</v>
      </c>
    </row>
    <row r="198" spans="1:12" x14ac:dyDescent="0.25">
      <c r="A198" t="s">
        <v>133</v>
      </c>
      <c r="B198" t="s">
        <v>129</v>
      </c>
      <c r="C198" t="s">
        <v>40</v>
      </c>
      <c r="D198" t="s">
        <v>56</v>
      </c>
      <c r="E198" s="2">
        <v>0</v>
      </c>
      <c r="F198" s="2">
        <v>0</v>
      </c>
      <c r="G198" s="2">
        <v>0</v>
      </c>
      <c r="H198" s="22">
        <v>0</v>
      </c>
      <c r="I198">
        <v>0</v>
      </c>
      <c r="J198" s="2">
        <v>0</v>
      </c>
      <c r="K198">
        <v>0</v>
      </c>
      <c r="L198" s="22">
        <v>0</v>
      </c>
    </row>
    <row r="199" spans="1:12" x14ac:dyDescent="0.25">
      <c r="A199" t="s">
        <v>134</v>
      </c>
      <c r="B199" t="s">
        <v>129</v>
      </c>
      <c r="C199" t="s">
        <v>40</v>
      </c>
      <c r="D199" t="s">
        <v>56</v>
      </c>
      <c r="E199" s="2">
        <v>0</v>
      </c>
      <c r="F199" s="2">
        <v>0</v>
      </c>
      <c r="G199" s="2">
        <v>0</v>
      </c>
      <c r="H199" s="22">
        <v>0</v>
      </c>
      <c r="I199">
        <v>0</v>
      </c>
      <c r="J199" s="2">
        <v>0</v>
      </c>
      <c r="K199">
        <v>0</v>
      </c>
      <c r="L199" s="22">
        <v>0</v>
      </c>
    </row>
    <row r="200" spans="1:12" x14ac:dyDescent="0.25">
      <c r="A200" t="s">
        <v>135</v>
      </c>
      <c r="B200" t="s">
        <v>129</v>
      </c>
      <c r="C200" t="s">
        <v>40</v>
      </c>
      <c r="D200" t="s">
        <v>136</v>
      </c>
      <c r="E200" s="2">
        <v>153</v>
      </c>
      <c r="F200" s="2">
        <v>27</v>
      </c>
      <c r="G200" s="2">
        <v>111</v>
      </c>
      <c r="H200" s="22">
        <v>2343621</v>
      </c>
      <c r="I200">
        <v>53</v>
      </c>
      <c r="J200" s="2">
        <v>15</v>
      </c>
      <c r="K200">
        <v>58</v>
      </c>
      <c r="L200" s="22">
        <v>925080</v>
      </c>
    </row>
    <row r="201" spans="1:12" x14ac:dyDescent="0.25">
      <c r="A201" t="s">
        <v>137</v>
      </c>
      <c r="B201" t="s">
        <v>129</v>
      </c>
      <c r="C201" t="s">
        <v>40</v>
      </c>
      <c r="D201" t="s">
        <v>138</v>
      </c>
      <c r="E201" s="2">
        <v>97</v>
      </c>
      <c r="F201" s="2">
        <v>8</v>
      </c>
      <c r="G201" s="2">
        <v>43</v>
      </c>
      <c r="H201" s="22">
        <v>1403989</v>
      </c>
      <c r="I201">
        <v>34</v>
      </c>
      <c r="J201" s="2">
        <v>5</v>
      </c>
      <c r="K201">
        <v>25</v>
      </c>
      <c r="L201" s="22">
        <v>538070</v>
      </c>
    </row>
    <row r="202" spans="1:12" x14ac:dyDescent="0.25">
      <c r="A202" t="s">
        <v>139</v>
      </c>
      <c r="B202" t="s">
        <v>129</v>
      </c>
      <c r="C202" t="s">
        <v>40</v>
      </c>
      <c r="D202" t="s">
        <v>140</v>
      </c>
      <c r="E202" s="2">
        <v>89</v>
      </c>
      <c r="F202" s="2">
        <v>12</v>
      </c>
      <c r="G202" s="2">
        <v>172</v>
      </c>
      <c r="H202" s="22">
        <v>3073010</v>
      </c>
      <c r="I202">
        <v>24</v>
      </c>
      <c r="J202" s="2">
        <v>9</v>
      </c>
      <c r="K202">
        <v>99</v>
      </c>
      <c r="L202" s="22">
        <v>1707300</v>
      </c>
    </row>
    <row r="203" spans="1:12" x14ac:dyDescent="0.25">
      <c r="A203" t="s">
        <v>141</v>
      </c>
      <c r="B203" t="s">
        <v>8</v>
      </c>
      <c r="C203" t="s">
        <v>9</v>
      </c>
      <c r="D203" t="s">
        <v>140</v>
      </c>
      <c r="E203" s="2">
        <v>319</v>
      </c>
      <c r="F203" s="2">
        <v>60</v>
      </c>
      <c r="G203" s="2">
        <v>616</v>
      </c>
      <c r="H203" s="22">
        <v>7983299</v>
      </c>
      <c r="I203">
        <v>81</v>
      </c>
      <c r="J203" s="2">
        <v>27</v>
      </c>
      <c r="K203">
        <v>296</v>
      </c>
      <c r="L203" s="22">
        <v>3055043</v>
      </c>
    </row>
    <row r="204" spans="1:12" x14ac:dyDescent="0.25">
      <c r="A204" t="s">
        <v>142</v>
      </c>
      <c r="B204" t="s">
        <v>8</v>
      </c>
      <c r="C204" t="s">
        <v>9</v>
      </c>
      <c r="D204" t="s">
        <v>140</v>
      </c>
      <c r="E204" s="2">
        <v>10</v>
      </c>
      <c r="F204" s="2">
        <v>1</v>
      </c>
      <c r="G204" s="2">
        <v>9</v>
      </c>
      <c r="H204" s="22">
        <v>48450</v>
      </c>
      <c r="I204">
        <v>4</v>
      </c>
      <c r="J204" s="2">
        <v>1</v>
      </c>
      <c r="K204">
        <v>9</v>
      </c>
      <c r="L204" s="22">
        <v>48450</v>
      </c>
    </row>
    <row r="205" spans="1:12" x14ac:dyDescent="0.25">
      <c r="A205" t="s">
        <v>143</v>
      </c>
      <c r="B205" t="s">
        <v>16</v>
      </c>
      <c r="C205" t="s">
        <v>9</v>
      </c>
      <c r="D205" t="s">
        <v>140</v>
      </c>
      <c r="E205" s="2">
        <v>713</v>
      </c>
      <c r="F205" s="2">
        <v>188</v>
      </c>
      <c r="G205" s="2">
        <v>3610</v>
      </c>
      <c r="H205" s="22">
        <v>40768364</v>
      </c>
      <c r="I205">
        <v>304</v>
      </c>
      <c r="J205" s="2">
        <v>121</v>
      </c>
      <c r="K205">
        <v>2151</v>
      </c>
      <c r="L205" s="22">
        <v>20419117</v>
      </c>
    </row>
    <row r="206" spans="1:12" x14ac:dyDescent="0.25">
      <c r="A206" t="s">
        <v>207</v>
      </c>
      <c r="B206" t="s">
        <v>52</v>
      </c>
      <c r="C206" t="s">
        <v>40</v>
      </c>
      <c r="D206" t="s">
        <v>140</v>
      </c>
      <c r="E206" s="2">
        <v>0</v>
      </c>
      <c r="F206" s="2">
        <v>0</v>
      </c>
      <c r="G206" s="2">
        <v>0</v>
      </c>
      <c r="H206" s="22">
        <v>0</v>
      </c>
      <c r="I206">
        <v>2</v>
      </c>
      <c r="J206" s="2">
        <v>0</v>
      </c>
      <c r="K206">
        <v>0</v>
      </c>
      <c r="L206" s="22">
        <v>0</v>
      </c>
    </row>
    <row r="207" spans="1:12" x14ac:dyDescent="0.25">
      <c r="A207" t="s">
        <v>145</v>
      </c>
      <c r="B207" t="s">
        <v>52</v>
      </c>
      <c r="C207" t="s">
        <v>40</v>
      </c>
      <c r="D207" t="s">
        <v>140</v>
      </c>
      <c r="E207" s="2">
        <v>0</v>
      </c>
      <c r="F207" s="2">
        <v>0</v>
      </c>
      <c r="G207" s="2">
        <v>0</v>
      </c>
      <c r="H207" s="22">
        <v>0</v>
      </c>
      <c r="I207">
        <v>3</v>
      </c>
      <c r="J207" s="2">
        <v>2</v>
      </c>
      <c r="K207">
        <v>0</v>
      </c>
      <c r="L207" s="22">
        <v>0</v>
      </c>
    </row>
    <row r="208" spans="1:12" x14ac:dyDescent="0.25">
      <c r="A208" t="s">
        <v>146</v>
      </c>
      <c r="B208" t="s">
        <v>76</v>
      </c>
      <c r="C208" t="s">
        <v>40</v>
      </c>
      <c r="D208" t="s">
        <v>77</v>
      </c>
      <c r="E208" s="2">
        <v>84</v>
      </c>
      <c r="F208" s="2">
        <v>3</v>
      </c>
      <c r="G208" s="2">
        <v>50</v>
      </c>
      <c r="H208" s="22">
        <v>702000</v>
      </c>
      <c r="I208">
        <v>30</v>
      </c>
      <c r="J208" s="2">
        <v>13</v>
      </c>
      <c r="K208">
        <v>21</v>
      </c>
      <c r="L208" s="22">
        <v>393700</v>
      </c>
    </row>
    <row r="209" spans="1:12" x14ac:dyDescent="0.25">
      <c r="A209" t="s">
        <v>147</v>
      </c>
      <c r="B209" t="s">
        <v>76</v>
      </c>
      <c r="C209" t="s">
        <v>40</v>
      </c>
      <c r="D209" t="s">
        <v>77</v>
      </c>
      <c r="E209" s="2">
        <v>160</v>
      </c>
      <c r="F209" s="2">
        <v>16</v>
      </c>
      <c r="G209" s="2">
        <v>324</v>
      </c>
      <c r="H209" s="22">
        <v>5542955</v>
      </c>
      <c r="I209">
        <v>35</v>
      </c>
      <c r="J209" s="2">
        <v>17</v>
      </c>
      <c r="K209">
        <v>216</v>
      </c>
      <c r="L209" s="22">
        <v>2956370</v>
      </c>
    </row>
    <row r="210" spans="1:12" x14ac:dyDescent="0.25">
      <c r="A210" t="s">
        <v>148</v>
      </c>
      <c r="B210" t="s">
        <v>8</v>
      </c>
      <c r="C210" t="s">
        <v>9</v>
      </c>
      <c r="D210" t="s">
        <v>10</v>
      </c>
      <c r="E210" s="2">
        <v>0</v>
      </c>
      <c r="F210" s="2">
        <v>0</v>
      </c>
      <c r="G210" s="2">
        <v>0</v>
      </c>
      <c r="H210" s="22">
        <v>0</v>
      </c>
      <c r="I210">
        <v>0</v>
      </c>
      <c r="J210" s="2">
        <v>0</v>
      </c>
      <c r="K210">
        <v>0</v>
      </c>
      <c r="L210" s="22">
        <v>0</v>
      </c>
    </row>
    <row r="211" spans="1:12" x14ac:dyDescent="0.25">
      <c r="A211" t="s">
        <v>149</v>
      </c>
      <c r="B211" t="s">
        <v>39</v>
      </c>
      <c r="C211" t="s">
        <v>40</v>
      </c>
      <c r="D211" t="s">
        <v>41</v>
      </c>
      <c r="E211" s="2">
        <v>299</v>
      </c>
      <c r="F211" s="2">
        <v>39</v>
      </c>
      <c r="G211" s="2">
        <v>384</v>
      </c>
      <c r="H211" s="22">
        <v>4439853</v>
      </c>
      <c r="I211">
        <v>113</v>
      </c>
      <c r="J211" s="2">
        <v>25</v>
      </c>
      <c r="K211">
        <v>232</v>
      </c>
      <c r="L211" s="22">
        <v>2007710</v>
      </c>
    </row>
    <row r="212" spans="1:12" x14ac:dyDescent="0.25">
      <c r="A212" t="s">
        <v>150</v>
      </c>
      <c r="B212" t="s">
        <v>39</v>
      </c>
      <c r="C212" t="s">
        <v>40</v>
      </c>
      <c r="D212" t="s">
        <v>41</v>
      </c>
      <c r="E212" s="2">
        <v>345</v>
      </c>
      <c r="F212" s="2">
        <v>30</v>
      </c>
      <c r="G212" s="2">
        <v>249</v>
      </c>
      <c r="H212" s="22">
        <v>1761740</v>
      </c>
      <c r="I212">
        <v>71</v>
      </c>
      <c r="J212" s="2">
        <v>21</v>
      </c>
      <c r="K212">
        <v>128</v>
      </c>
      <c r="L212" s="22">
        <v>1130610</v>
      </c>
    </row>
    <row r="213" spans="1:12" x14ac:dyDescent="0.25">
      <c r="A213" t="s">
        <v>151</v>
      </c>
      <c r="B213" t="s">
        <v>85</v>
      </c>
      <c r="C213" t="s">
        <v>40</v>
      </c>
      <c r="D213" t="s">
        <v>86</v>
      </c>
      <c r="E213" s="2">
        <v>375</v>
      </c>
      <c r="F213" s="2">
        <v>36</v>
      </c>
      <c r="G213" s="2">
        <v>499</v>
      </c>
      <c r="H213" s="22">
        <v>5997048</v>
      </c>
      <c r="I213">
        <v>98</v>
      </c>
      <c r="J213" s="2">
        <v>33</v>
      </c>
      <c r="K213">
        <v>273</v>
      </c>
      <c r="L213" s="22">
        <v>3180500</v>
      </c>
    </row>
    <row r="214" spans="1:12" x14ac:dyDescent="0.25">
      <c r="A214" t="s">
        <v>152</v>
      </c>
      <c r="B214" t="s">
        <v>85</v>
      </c>
      <c r="C214" t="s">
        <v>40</v>
      </c>
      <c r="D214" t="s">
        <v>88</v>
      </c>
      <c r="E214" s="2">
        <v>99</v>
      </c>
      <c r="F214" s="2">
        <v>12</v>
      </c>
      <c r="G214" s="2">
        <v>90</v>
      </c>
      <c r="H214" s="22">
        <v>520180</v>
      </c>
      <c r="I214">
        <v>38</v>
      </c>
      <c r="J214" s="2">
        <v>14</v>
      </c>
      <c r="K214">
        <v>50</v>
      </c>
      <c r="L214" s="22">
        <v>397180</v>
      </c>
    </row>
    <row r="215" spans="1:12" x14ac:dyDescent="0.25">
      <c r="A215" t="s">
        <v>153</v>
      </c>
      <c r="B215" t="s">
        <v>24</v>
      </c>
      <c r="C215" t="s">
        <v>25</v>
      </c>
      <c r="D215" t="s">
        <v>26</v>
      </c>
      <c r="E215" s="2">
        <v>0</v>
      </c>
      <c r="F215" s="2">
        <v>0</v>
      </c>
      <c r="G215" s="2">
        <v>0</v>
      </c>
      <c r="H215" s="22">
        <v>0</v>
      </c>
      <c r="I215">
        <v>9</v>
      </c>
      <c r="J215" s="2">
        <v>4</v>
      </c>
      <c r="K215">
        <v>0</v>
      </c>
      <c r="L215" s="22">
        <v>0</v>
      </c>
    </row>
    <row r="216" spans="1:12" x14ac:dyDescent="0.25">
      <c r="A216" t="s">
        <v>154</v>
      </c>
      <c r="B216" t="s">
        <v>155</v>
      </c>
      <c r="C216" t="s">
        <v>9</v>
      </c>
      <c r="D216" t="s">
        <v>10</v>
      </c>
      <c r="E216" s="2">
        <v>0</v>
      </c>
      <c r="F216" s="2">
        <v>0</v>
      </c>
      <c r="G216" s="2">
        <v>0</v>
      </c>
      <c r="H216" s="22">
        <v>0</v>
      </c>
      <c r="I216">
        <v>1</v>
      </c>
      <c r="J216" s="2">
        <v>1</v>
      </c>
      <c r="K216">
        <v>0</v>
      </c>
      <c r="L216" s="22">
        <v>0</v>
      </c>
    </row>
    <row r="217" spans="1:12" x14ac:dyDescent="0.25">
      <c r="A217" t="s">
        <v>156</v>
      </c>
      <c r="B217" t="s">
        <v>155</v>
      </c>
      <c r="C217" t="s">
        <v>9</v>
      </c>
      <c r="D217" t="s">
        <v>10</v>
      </c>
      <c r="E217" s="2">
        <v>0</v>
      </c>
      <c r="F217" s="2">
        <v>0</v>
      </c>
      <c r="G217" s="2">
        <v>0</v>
      </c>
      <c r="H217" s="22">
        <v>0</v>
      </c>
      <c r="I217">
        <v>3</v>
      </c>
      <c r="J217" s="2">
        <v>2</v>
      </c>
      <c r="K217">
        <v>0</v>
      </c>
      <c r="L217" s="22">
        <v>0</v>
      </c>
    </row>
    <row r="218" spans="1:12" x14ac:dyDescent="0.25">
      <c r="A218" t="s">
        <v>157</v>
      </c>
      <c r="B218" t="s">
        <v>155</v>
      </c>
      <c r="C218" t="s">
        <v>9</v>
      </c>
      <c r="D218" t="s">
        <v>10</v>
      </c>
      <c r="E218" s="2">
        <v>0</v>
      </c>
      <c r="F218" s="2">
        <v>0</v>
      </c>
      <c r="G218" s="2">
        <v>0</v>
      </c>
      <c r="H218" s="22">
        <v>0</v>
      </c>
      <c r="I218">
        <v>0</v>
      </c>
      <c r="J218" s="2">
        <v>0</v>
      </c>
      <c r="K218">
        <v>0</v>
      </c>
      <c r="L218" s="22">
        <v>0</v>
      </c>
    </row>
    <row r="219" spans="1:12" x14ac:dyDescent="0.25">
      <c r="A219" t="s">
        <v>158</v>
      </c>
      <c r="B219" t="s">
        <v>155</v>
      </c>
      <c r="C219" t="s">
        <v>9</v>
      </c>
      <c r="D219" t="s">
        <v>10</v>
      </c>
      <c r="E219" s="2">
        <v>0</v>
      </c>
      <c r="F219" s="2">
        <v>0</v>
      </c>
      <c r="G219" s="2">
        <v>0</v>
      </c>
      <c r="H219" s="22">
        <v>0</v>
      </c>
      <c r="I219">
        <v>5</v>
      </c>
      <c r="J219" s="2">
        <v>4</v>
      </c>
      <c r="K219">
        <v>0</v>
      </c>
      <c r="L219" s="22">
        <v>0</v>
      </c>
    </row>
    <row r="220" spans="1:12" x14ac:dyDescent="0.25">
      <c r="A220" t="s">
        <v>159</v>
      </c>
      <c r="B220" t="s">
        <v>155</v>
      </c>
      <c r="C220" t="s">
        <v>9</v>
      </c>
      <c r="D220" t="s">
        <v>10</v>
      </c>
      <c r="E220" s="2">
        <v>0</v>
      </c>
      <c r="F220" s="2">
        <v>0</v>
      </c>
      <c r="G220" s="2">
        <v>0</v>
      </c>
      <c r="H220" s="22">
        <v>0</v>
      </c>
      <c r="I220">
        <v>0</v>
      </c>
      <c r="J220" s="2">
        <v>0</v>
      </c>
      <c r="K220">
        <v>0</v>
      </c>
      <c r="L220" s="22">
        <v>0</v>
      </c>
    </row>
    <row r="221" spans="1:12" x14ac:dyDescent="0.25">
      <c r="A221" t="s">
        <v>160</v>
      </c>
      <c r="B221" t="s">
        <v>39</v>
      </c>
      <c r="C221" t="s">
        <v>40</v>
      </c>
      <c r="D221" t="s">
        <v>41</v>
      </c>
      <c r="E221" s="2">
        <v>0</v>
      </c>
      <c r="F221" s="2">
        <v>0</v>
      </c>
      <c r="G221" s="2">
        <v>0</v>
      </c>
      <c r="H221" s="22">
        <v>0</v>
      </c>
      <c r="I221">
        <v>3</v>
      </c>
      <c r="J221" s="2">
        <v>1</v>
      </c>
      <c r="K221">
        <v>0</v>
      </c>
      <c r="L221" s="22">
        <v>0</v>
      </c>
    </row>
    <row r="222" spans="1:12" x14ac:dyDescent="0.25">
      <c r="A222" t="s">
        <v>161</v>
      </c>
      <c r="B222" t="s">
        <v>24</v>
      </c>
      <c r="D222" t="s">
        <v>32</v>
      </c>
      <c r="E222" s="2">
        <v>35</v>
      </c>
      <c r="F222" s="2">
        <v>7</v>
      </c>
      <c r="G222" s="2">
        <v>199</v>
      </c>
      <c r="H222" s="22">
        <v>1714290</v>
      </c>
      <c r="I222">
        <v>15</v>
      </c>
      <c r="J222" s="2">
        <v>9</v>
      </c>
      <c r="K222">
        <v>96</v>
      </c>
      <c r="L222" s="22">
        <v>622890</v>
      </c>
    </row>
    <row r="223" spans="1:12" x14ac:dyDescent="0.25">
      <c r="A223" t="s">
        <v>162</v>
      </c>
      <c r="B223" t="s">
        <v>24</v>
      </c>
      <c r="D223" t="s">
        <v>32</v>
      </c>
      <c r="E223" s="2">
        <v>0</v>
      </c>
      <c r="F223" s="2">
        <v>0</v>
      </c>
      <c r="G223" s="2">
        <v>0</v>
      </c>
      <c r="H223" s="22">
        <v>0</v>
      </c>
      <c r="I223">
        <v>4</v>
      </c>
      <c r="J223" s="2">
        <v>3</v>
      </c>
      <c r="K223">
        <v>0</v>
      </c>
      <c r="L223" s="22">
        <v>0</v>
      </c>
    </row>
    <row r="224" spans="1:12" x14ac:dyDescent="0.25">
      <c r="A224" t="s">
        <v>163</v>
      </c>
      <c r="B224" t="s">
        <v>76</v>
      </c>
      <c r="C224" t="s">
        <v>40</v>
      </c>
      <c r="D224" t="s">
        <v>80</v>
      </c>
      <c r="E224" s="2">
        <v>119</v>
      </c>
      <c r="F224" s="2">
        <v>11</v>
      </c>
      <c r="G224" s="2">
        <v>261</v>
      </c>
      <c r="H224" s="22">
        <v>5852210</v>
      </c>
      <c r="I224">
        <v>35</v>
      </c>
      <c r="J224" s="2">
        <v>11</v>
      </c>
      <c r="K224">
        <v>183</v>
      </c>
      <c r="L224" s="22">
        <v>2805150</v>
      </c>
    </row>
    <row r="225" spans="1:12" x14ac:dyDescent="0.25">
      <c r="A225" t="s">
        <v>164</v>
      </c>
      <c r="B225" t="s">
        <v>39</v>
      </c>
      <c r="C225" t="s">
        <v>40</v>
      </c>
      <c r="D225" t="s">
        <v>41</v>
      </c>
      <c r="E225" s="2">
        <v>0</v>
      </c>
      <c r="F225" s="2">
        <v>0</v>
      </c>
      <c r="G225" s="2">
        <v>0</v>
      </c>
      <c r="H225" s="22">
        <v>0</v>
      </c>
      <c r="I225">
        <v>7</v>
      </c>
      <c r="J225" s="2">
        <v>4</v>
      </c>
      <c r="K225">
        <v>0</v>
      </c>
      <c r="L225" s="22">
        <v>0</v>
      </c>
    </row>
    <row r="226" spans="1:12" x14ac:dyDescent="0.25">
      <c r="A226" t="s">
        <v>165</v>
      </c>
      <c r="B226" t="s">
        <v>68</v>
      </c>
      <c r="C226" t="s">
        <v>40</v>
      </c>
      <c r="D226" t="s">
        <v>69</v>
      </c>
      <c r="E226" s="2">
        <v>345</v>
      </c>
      <c r="F226" s="2">
        <v>57</v>
      </c>
      <c r="G226" s="2">
        <v>507</v>
      </c>
      <c r="H226" s="22">
        <v>4030309</v>
      </c>
      <c r="I226">
        <v>105</v>
      </c>
      <c r="J226" s="2">
        <v>28</v>
      </c>
      <c r="K226">
        <v>283</v>
      </c>
      <c r="L226" s="22">
        <v>1933950</v>
      </c>
    </row>
    <row r="227" spans="1:12" x14ac:dyDescent="0.25">
      <c r="A227" t="s">
        <v>166</v>
      </c>
      <c r="B227" t="s">
        <v>85</v>
      </c>
      <c r="C227" t="s">
        <v>40</v>
      </c>
      <c r="D227" t="s">
        <v>167</v>
      </c>
      <c r="E227" s="2">
        <v>92</v>
      </c>
      <c r="F227" s="2">
        <v>6</v>
      </c>
      <c r="G227" s="2">
        <v>2</v>
      </c>
      <c r="H227" s="22">
        <v>25100</v>
      </c>
      <c r="I227">
        <v>19</v>
      </c>
      <c r="J227" s="2">
        <v>2</v>
      </c>
      <c r="K227">
        <v>1</v>
      </c>
      <c r="L227" s="22">
        <v>10100</v>
      </c>
    </row>
    <row r="228" spans="1:12" x14ac:dyDescent="0.25">
      <c r="A228" t="s">
        <v>168</v>
      </c>
      <c r="B228" t="s">
        <v>24</v>
      </c>
      <c r="D228" t="s">
        <v>35</v>
      </c>
      <c r="E228" s="2">
        <v>365</v>
      </c>
      <c r="F228" s="2">
        <v>58</v>
      </c>
      <c r="G228" s="2">
        <v>328</v>
      </c>
      <c r="H228" s="22">
        <v>3129073</v>
      </c>
      <c r="I228">
        <v>84</v>
      </c>
      <c r="J228" s="2">
        <v>27</v>
      </c>
      <c r="K228">
        <v>152</v>
      </c>
      <c r="L228" s="22">
        <v>1356800</v>
      </c>
    </row>
    <row r="229" spans="1:12" x14ac:dyDescent="0.25">
      <c r="A229" t="s">
        <v>169</v>
      </c>
      <c r="B229" t="s">
        <v>155</v>
      </c>
      <c r="D229" t="s">
        <v>10</v>
      </c>
      <c r="E229" s="2">
        <v>0</v>
      </c>
      <c r="F229" s="2">
        <v>0</v>
      </c>
      <c r="G229" s="2">
        <v>0</v>
      </c>
      <c r="H229" s="22">
        <v>0</v>
      </c>
      <c r="I229">
        <v>0</v>
      </c>
      <c r="J229" s="2">
        <v>0</v>
      </c>
      <c r="K229">
        <v>0</v>
      </c>
      <c r="L229" s="22">
        <v>0</v>
      </c>
    </row>
    <row r="230" spans="1:12" x14ac:dyDescent="0.25">
      <c r="A230" t="s">
        <v>170</v>
      </c>
      <c r="B230" t="s">
        <v>39</v>
      </c>
      <c r="D230" t="s">
        <v>41</v>
      </c>
      <c r="E230" s="2">
        <v>0</v>
      </c>
      <c r="F230" s="2">
        <v>0</v>
      </c>
      <c r="G230" s="2">
        <v>0</v>
      </c>
      <c r="H230" s="22">
        <v>0</v>
      </c>
      <c r="I230">
        <v>8</v>
      </c>
      <c r="J230" s="2">
        <v>4</v>
      </c>
      <c r="K230">
        <v>0</v>
      </c>
      <c r="L230" s="22">
        <v>0</v>
      </c>
    </row>
    <row r="231" spans="1:12" x14ac:dyDescent="0.25">
      <c r="A231" t="s">
        <v>171</v>
      </c>
      <c r="B231" t="s">
        <v>39</v>
      </c>
      <c r="D231" t="s">
        <v>41</v>
      </c>
      <c r="E231" s="2">
        <v>0</v>
      </c>
      <c r="F231" s="2">
        <v>0</v>
      </c>
      <c r="G231" s="2">
        <v>0</v>
      </c>
      <c r="H231" s="22">
        <v>0</v>
      </c>
      <c r="I231">
        <v>2</v>
      </c>
      <c r="J231" s="2">
        <v>2</v>
      </c>
      <c r="K231">
        <v>0</v>
      </c>
      <c r="L231" s="22">
        <v>0</v>
      </c>
    </row>
    <row r="232" spans="1:12" x14ac:dyDescent="0.25">
      <c r="A232" t="s">
        <v>172</v>
      </c>
      <c r="B232" t="s">
        <v>155</v>
      </c>
      <c r="C232" t="s">
        <v>9</v>
      </c>
      <c r="D232" t="s">
        <v>10</v>
      </c>
      <c r="E232" s="2">
        <v>0</v>
      </c>
      <c r="F232" s="2">
        <v>0</v>
      </c>
      <c r="G232" s="2">
        <v>0</v>
      </c>
      <c r="H232" s="22">
        <v>0</v>
      </c>
      <c r="I232">
        <v>0</v>
      </c>
      <c r="J232" s="2">
        <v>0</v>
      </c>
      <c r="K232">
        <v>0</v>
      </c>
      <c r="L232" s="22">
        <v>0</v>
      </c>
    </row>
    <row r="233" spans="1:12" x14ac:dyDescent="0.25">
      <c r="A233" t="s">
        <v>173</v>
      </c>
      <c r="B233" t="s">
        <v>155</v>
      </c>
      <c r="C233" t="s">
        <v>9</v>
      </c>
      <c r="D233" t="s">
        <v>10</v>
      </c>
      <c r="E233" s="2">
        <v>0</v>
      </c>
      <c r="F233" s="2">
        <v>0</v>
      </c>
      <c r="G233" s="2">
        <v>0</v>
      </c>
      <c r="H233" s="22">
        <v>0</v>
      </c>
      <c r="I233">
        <v>0</v>
      </c>
      <c r="J233" s="2">
        <v>0</v>
      </c>
      <c r="K233">
        <v>0</v>
      </c>
      <c r="L233" s="22">
        <v>0</v>
      </c>
    </row>
    <row r="234" spans="1:12" x14ac:dyDescent="0.25">
      <c r="A234" t="s">
        <v>174</v>
      </c>
      <c r="B234" t="s">
        <v>24</v>
      </c>
      <c r="D234" t="s">
        <v>37</v>
      </c>
      <c r="E234" s="2">
        <v>313</v>
      </c>
      <c r="F234" s="2">
        <v>49</v>
      </c>
      <c r="G234" s="2">
        <v>745</v>
      </c>
      <c r="H234" s="22">
        <v>9971354</v>
      </c>
      <c r="I234">
        <v>86</v>
      </c>
      <c r="J234" s="2">
        <v>43</v>
      </c>
      <c r="K234">
        <v>541</v>
      </c>
      <c r="L234" s="22">
        <v>4250710</v>
      </c>
    </row>
    <row r="235" spans="1:12" x14ac:dyDescent="0.25">
      <c r="A235" t="s">
        <v>175</v>
      </c>
      <c r="B235" t="s">
        <v>155</v>
      </c>
      <c r="C235" t="s">
        <v>9</v>
      </c>
      <c r="D235" t="s">
        <v>10</v>
      </c>
      <c r="E235" s="2">
        <v>0</v>
      </c>
      <c r="F235" s="2">
        <v>0</v>
      </c>
      <c r="G235" s="2">
        <v>0</v>
      </c>
      <c r="H235" s="22">
        <v>0</v>
      </c>
      <c r="I235">
        <v>0</v>
      </c>
      <c r="J235" s="2">
        <v>0</v>
      </c>
      <c r="K235">
        <v>0</v>
      </c>
      <c r="L235" s="22">
        <v>0</v>
      </c>
    </row>
    <row r="236" spans="1:12" x14ac:dyDescent="0.25">
      <c r="A236" t="s">
        <v>176</v>
      </c>
      <c r="B236" t="s">
        <v>155</v>
      </c>
      <c r="C236" t="s">
        <v>9</v>
      </c>
      <c r="D236" t="s">
        <v>10</v>
      </c>
      <c r="E236" s="2">
        <v>0</v>
      </c>
      <c r="F236" s="2">
        <v>0</v>
      </c>
      <c r="G236" s="2">
        <v>0</v>
      </c>
      <c r="H236" s="22">
        <v>0</v>
      </c>
      <c r="I236">
        <v>0</v>
      </c>
      <c r="J236" s="2">
        <v>0</v>
      </c>
      <c r="K236">
        <v>0</v>
      </c>
      <c r="L236" s="22">
        <v>0</v>
      </c>
    </row>
    <row r="237" spans="1:12" x14ac:dyDescent="0.25">
      <c r="A237" t="s">
        <v>177</v>
      </c>
      <c r="B237" t="s">
        <v>155</v>
      </c>
      <c r="C237" t="s">
        <v>9</v>
      </c>
      <c r="D237" t="s">
        <v>10</v>
      </c>
      <c r="E237" s="2">
        <v>0</v>
      </c>
      <c r="F237" s="2">
        <v>0</v>
      </c>
      <c r="G237" s="2">
        <v>0</v>
      </c>
      <c r="H237" s="22">
        <v>0</v>
      </c>
      <c r="I237">
        <v>0</v>
      </c>
      <c r="J237" s="2">
        <v>0</v>
      </c>
      <c r="K237">
        <v>0</v>
      </c>
      <c r="L237" s="22">
        <v>0</v>
      </c>
    </row>
    <row r="238" spans="1:12" x14ac:dyDescent="0.25">
      <c r="A238" t="s">
        <v>178</v>
      </c>
      <c r="B238" t="s">
        <v>24</v>
      </c>
      <c r="D238" t="s">
        <v>30</v>
      </c>
      <c r="E238" s="2">
        <v>349</v>
      </c>
      <c r="F238" s="2">
        <v>55</v>
      </c>
      <c r="G238" s="2">
        <v>959</v>
      </c>
      <c r="H238" s="22">
        <v>20780969</v>
      </c>
      <c r="I238">
        <v>87</v>
      </c>
      <c r="J238" s="2">
        <v>35</v>
      </c>
      <c r="K238">
        <v>472</v>
      </c>
      <c r="L238" s="22">
        <v>10118919</v>
      </c>
    </row>
    <row r="239" spans="1:12" x14ac:dyDescent="0.25">
      <c r="A239" t="s">
        <v>179</v>
      </c>
      <c r="B239" t="s">
        <v>85</v>
      </c>
      <c r="D239" t="s">
        <v>26</v>
      </c>
      <c r="E239" s="2">
        <v>388</v>
      </c>
      <c r="F239" s="2">
        <v>34</v>
      </c>
      <c r="G239" s="2">
        <v>346</v>
      </c>
      <c r="H239" s="22">
        <v>3920600</v>
      </c>
      <c r="I239">
        <v>36</v>
      </c>
      <c r="J239" s="2">
        <v>16</v>
      </c>
      <c r="K239">
        <v>165</v>
      </c>
      <c r="L239" s="22">
        <v>2076930</v>
      </c>
    </row>
    <row r="240" spans="1:12" x14ac:dyDescent="0.25">
      <c r="A240" t="s">
        <v>180</v>
      </c>
      <c r="B240" t="s">
        <v>24</v>
      </c>
      <c r="D240" t="s">
        <v>26</v>
      </c>
      <c r="E240" s="2">
        <v>480</v>
      </c>
      <c r="F240" s="2">
        <v>61</v>
      </c>
      <c r="G240" s="2">
        <v>575</v>
      </c>
      <c r="H240" s="22">
        <v>6916272</v>
      </c>
      <c r="I240">
        <v>53</v>
      </c>
      <c r="J240" s="2">
        <v>15</v>
      </c>
      <c r="K240">
        <v>147</v>
      </c>
      <c r="L240" s="22">
        <v>1992050</v>
      </c>
    </row>
    <row r="241" spans="1:12" x14ac:dyDescent="0.25">
      <c r="A241" t="s">
        <v>181</v>
      </c>
      <c r="B241" t="s">
        <v>85</v>
      </c>
      <c r="D241" t="s">
        <v>26</v>
      </c>
      <c r="E241" s="2">
        <v>505</v>
      </c>
      <c r="F241" s="2">
        <v>44</v>
      </c>
      <c r="G241" s="2">
        <v>663</v>
      </c>
      <c r="H241" s="22">
        <v>6493892</v>
      </c>
      <c r="I241">
        <v>58</v>
      </c>
      <c r="J241" s="2">
        <v>19</v>
      </c>
      <c r="K241">
        <v>281</v>
      </c>
      <c r="L241" s="22">
        <v>2817200</v>
      </c>
    </row>
  </sheetData>
  <autoFilter ref="A1:L1" xr:uid="{1A4762CC-F93C-4D2A-BF34-1C3A05C3699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A43D32-0417-47DF-A704-1DE8348D6689}">
  <sheetPr codeName="Sheet3"/>
  <dimension ref="A1:L120"/>
  <sheetViews>
    <sheetView workbookViewId="0">
      <selection activeCell="O71" sqref="O71"/>
    </sheetView>
  </sheetViews>
  <sheetFormatPr defaultRowHeight="15" x14ac:dyDescent="0.25"/>
  <sheetData>
    <row r="1" spans="1:12" x14ac:dyDescent="0.25">
      <c r="A1" t="s">
        <v>7</v>
      </c>
      <c r="B1" t="s">
        <v>8</v>
      </c>
      <c r="C1" t="s">
        <v>9</v>
      </c>
      <c r="D1" t="s">
        <v>10</v>
      </c>
      <c r="E1">
        <v>448</v>
      </c>
      <c r="F1">
        <v>75</v>
      </c>
      <c r="G1">
        <v>831</v>
      </c>
      <c r="H1">
        <v>8622225</v>
      </c>
      <c r="I1">
        <v>118</v>
      </c>
      <c r="J1">
        <v>45</v>
      </c>
      <c r="K1">
        <v>518</v>
      </c>
      <c r="L1">
        <v>4094650</v>
      </c>
    </row>
    <row r="2" spans="1:12" x14ac:dyDescent="0.25">
      <c r="A2" t="s">
        <v>11</v>
      </c>
      <c r="B2" t="s">
        <v>8</v>
      </c>
      <c r="C2" t="s">
        <v>9</v>
      </c>
      <c r="D2" t="s">
        <v>10</v>
      </c>
      <c r="E2">
        <v>404</v>
      </c>
      <c r="F2">
        <v>87</v>
      </c>
      <c r="G2">
        <v>1385</v>
      </c>
      <c r="H2">
        <v>14957395</v>
      </c>
      <c r="I2">
        <v>162</v>
      </c>
      <c r="J2">
        <v>59</v>
      </c>
      <c r="K2">
        <v>829</v>
      </c>
      <c r="L2">
        <v>9856200</v>
      </c>
    </row>
    <row r="3" spans="1:12" x14ac:dyDescent="0.25">
      <c r="A3" t="s">
        <v>12</v>
      </c>
      <c r="B3" t="s">
        <v>8</v>
      </c>
      <c r="C3" t="s">
        <v>9</v>
      </c>
      <c r="D3" t="s">
        <v>10</v>
      </c>
      <c r="E3">
        <v>255</v>
      </c>
      <c r="F3">
        <v>31</v>
      </c>
      <c r="G3">
        <v>503</v>
      </c>
      <c r="H3">
        <v>4767638</v>
      </c>
      <c r="I3">
        <v>75</v>
      </c>
      <c r="J3">
        <v>37</v>
      </c>
      <c r="K3">
        <v>424</v>
      </c>
      <c r="L3">
        <v>3083380</v>
      </c>
    </row>
    <row r="4" spans="1:12" x14ac:dyDescent="0.25">
      <c r="A4" t="s">
        <v>13</v>
      </c>
      <c r="B4" t="s">
        <v>8</v>
      </c>
      <c r="C4" t="s">
        <v>9</v>
      </c>
      <c r="D4" t="s">
        <v>10</v>
      </c>
      <c r="E4">
        <v>403</v>
      </c>
      <c r="F4">
        <v>95</v>
      </c>
      <c r="G4">
        <v>837</v>
      </c>
      <c r="H4">
        <v>8898566</v>
      </c>
      <c r="I4">
        <v>100</v>
      </c>
      <c r="J4">
        <v>29</v>
      </c>
      <c r="K4">
        <v>317</v>
      </c>
      <c r="L4">
        <v>2938580</v>
      </c>
    </row>
    <row r="5" spans="1:12" x14ac:dyDescent="0.25">
      <c r="A5" t="s">
        <v>14</v>
      </c>
      <c r="B5" t="s">
        <v>8</v>
      </c>
      <c r="C5" t="s">
        <v>9</v>
      </c>
      <c r="D5" t="s">
        <v>10</v>
      </c>
      <c r="E5">
        <v>363</v>
      </c>
      <c r="F5">
        <v>91</v>
      </c>
      <c r="G5">
        <v>862</v>
      </c>
      <c r="H5">
        <v>8169011</v>
      </c>
      <c r="I5">
        <v>112</v>
      </c>
      <c r="J5">
        <v>37</v>
      </c>
      <c r="K5">
        <v>462</v>
      </c>
      <c r="L5">
        <v>4687100</v>
      </c>
    </row>
    <row r="6" spans="1:12" x14ac:dyDescent="0.25">
      <c r="A6" t="s">
        <v>15</v>
      </c>
      <c r="B6" t="s">
        <v>16</v>
      </c>
      <c r="C6" t="s">
        <v>9</v>
      </c>
      <c r="D6" t="s">
        <v>10</v>
      </c>
      <c r="E6">
        <v>360</v>
      </c>
      <c r="F6">
        <v>73</v>
      </c>
      <c r="G6">
        <v>936</v>
      </c>
      <c r="H6">
        <v>10118431</v>
      </c>
      <c r="I6">
        <v>140</v>
      </c>
      <c r="J6">
        <v>49</v>
      </c>
      <c r="K6">
        <v>471</v>
      </c>
      <c r="L6">
        <v>4388775</v>
      </c>
    </row>
    <row r="7" spans="1:12" x14ac:dyDescent="0.25">
      <c r="A7" t="s">
        <v>17</v>
      </c>
      <c r="B7" t="s">
        <v>8</v>
      </c>
      <c r="C7" t="s">
        <v>9</v>
      </c>
      <c r="D7" t="s">
        <v>10</v>
      </c>
      <c r="E7">
        <v>395</v>
      </c>
      <c r="F7">
        <v>46</v>
      </c>
      <c r="G7">
        <v>605</v>
      </c>
      <c r="H7">
        <v>8746332</v>
      </c>
      <c r="I7">
        <v>85</v>
      </c>
      <c r="J7">
        <v>28</v>
      </c>
      <c r="K7">
        <v>323</v>
      </c>
      <c r="L7">
        <v>2181270</v>
      </c>
    </row>
    <row r="8" spans="1:12" x14ac:dyDescent="0.25">
      <c r="A8" t="s">
        <v>18</v>
      </c>
      <c r="B8" t="s">
        <v>8</v>
      </c>
      <c r="C8" t="s">
        <v>9</v>
      </c>
      <c r="D8" t="s">
        <v>10</v>
      </c>
      <c r="E8">
        <v>498</v>
      </c>
      <c r="F8">
        <v>62</v>
      </c>
      <c r="G8">
        <v>756</v>
      </c>
      <c r="H8">
        <v>15025770</v>
      </c>
      <c r="I8">
        <v>125</v>
      </c>
      <c r="J8">
        <v>24</v>
      </c>
      <c r="K8">
        <v>413</v>
      </c>
      <c r="L8">
        <v>4613420</v>
      </c>
    </row>
    <row r="9" spans="1:12" x14ac:dyDescent="0.25">
      <c r="A9" t="s">
        <v>19</v>
      </c>
      <c r="B9" t="s">
        <v>8</v>
      </c>
      <c r="C9" t="s">
        <v>9</v>
      </c>
      <c r="D9" t="s">
        <v>10</v>
      </c>
      <c r="E9">
        <v>443</v>
      </c>
      <c r="F9">
        <v>67</v>
      </c>
      <c r="G9">
        <v>1061</v>
      </c>
      <c r="H9">
        <v>9626179</v>
      </c>
      <c r="I9">
        <v>94</v>
      </c>
      <c r="J9">
        <v>26</v>
      </c>
      <c r="K9">
        <v>402</v>
      </c>
      <c r="L9">
        <v>3331720</v>
      </c>
    </row>
    <row r="10" spans="1:12" x14ac:dyDescent="0.25">
      <c r="A10" t="s">
        <v>20</v>
      </c>
      <c r="B10" t="s">
        <v>8</v>
      </c>
      <c r="C10" t="s">
        <v>9</v>
      </c>
      <c r="D10" t="s">
        <v>10</v>
      </c>
      <c r="E10">
        <v>0</v>
      </c>
      <c r="F10">
        <v>0</v>
      </c>
      <c r="G10">
        <v>0</v>
      </c>
      <c r="H10">
        <v>0</v>
      </c>
      <c r="I10">
        <v>0</v>
      </c>
      <c r="J10">
        <v>0</v>
      </c>
      <c r="K10">
        <v>0</v>
      </c>
      <c r="L10">
        <v>0</v>
      </c>
    </row>
    <row r="11" spans="1:12" x14ac:dyDescent="0.25">
      <c r="A11" t="s">
        <v>21</v>
      </c>
      <c r="B11" t="s">
        <v>16</v>
      </c>
      <c r="C11" t="s">
        <v>9</v>
      </c>
      <c r="D11" t="s">
        <v>10</v>
      </c>
      <c r="E11">
        <v>213</v>
      </c>
      <c r="F11">
        <v>39</v>
      </c>
      <c r="G11">
        <v>562</v>
      </c>
      <c r="H11">
        <v>7411183</v>
      </c>
      <c r="I11">
        <v>77</v>
      </c>
      <c r="J11">
        <v>23</v>
      </c>
      <c r="K11">
        <v>250</v>
      </c>
      <c r="L11">
        <v>2331300</v>
      </c>
    </row>
    <row r="12" spans="1:12" x14ac:dyDescent="0.25">
      <c r="A12" t="s">
        <v>22</v>
      </c>
      <c r="B12" t="s">
        <v>16</v>
      </c>
      <c r="C12" t="s">
        <v>9</v>
      </c>
      <c r="D12" t="s">
        <v>10</v>
      </c>
      <c r="E12">
        <v>545</v>
      </c>
      <c r="F12">
        <v>134</v>
      </c>
      <c r="G12">
        <v>2452</v>
      </c>
      <c r="H12">
        <v>28462943</v>
      </c>
      <c r="I12">
        <v>198</v>
      </c>
      <c r="J12">
        <v>85</v>
      </c>
      <c r="K12">
        <v>1521</v>
      </c>
      <c r="L12">
        <v>13556310</v>
      </c>
    </row>
    <row r="13" spans="1:12" x14ac:dyDescent="0.25">
      <c r="A13" t="s">
        <v>23</v>
      </c>
      <c r="B13" t="s">
        <v>24</v>
      </c>
      <c r="C13" t="s">
        <v>25</v>
      </c>
      <c r="D13" t="s">
        <v>26</v>
      </c>
      <c r="E13">
        <v>0</v>
      </c>
      <c r="F13">
        <v>0</v>
      </c>
      <c r="G13">
        <v>0</v>
      </c>
      <c r="H13">
        <v>0</v>
      </c>
      <c r="I13">
        <v>0</v>
      </c>
      <c r="J13">
        <v>0</v>
      </c>
      <c r="K13">
        <v>0</v>
      </c>
      <c r="L13">
        <v>0</v>
      </c>
    </row>
    <row r="14" spans="1:12" x14ac:dyDescent="0.25">
      <c r="A14" t="s">
        <v>27</v>
      </c>
      <c r="B14" t="s">
        <v>24</v>
      </c>
      <c r="C14" t="s">
        <v>25</v>
      </c>
      <c r="D14" t="s">
        <v>26</v>
      </c>
      <c r="E14">
        <v>574</v>
      </c>
      <c r="F14">
        <v>107</v>
      </c>
      <c r="G14">
        <v>1571</v>
      </c>
      <c r="H14">
        <v>18138258</v>
      </c>
      <c r="I14">
        <v>175</v>
      </c>
      <c r="J14">
        <v>79</v>
      </c>
      <c r="K14">
        <v>935</v>
      </c>
      <c r="L14">
        <v>8316020</v>
      </c>
    </row>
    <row r="15" spans="1:12" x14ac:dyDescent="0.25">
      <c r="A15" t="s">
        <v>28</v>
      </c>
      <c r="B15" t="s">
        <v>24</v>
      </c>
      <c r="C15" t="s">
        <v>25</v>
      </c>
      <c r="D15" t="s">
        <v>26</v>
      </c>
      <c r="E15">
        <v>0</v>
      </c>
      <c r="F15">
        <v>0</v>
      </c>
      <c r="G15">
        <v>0</v>
      </c>
      <c r="H15">
        <v>0</v>
      </c>
      <c r="I15">
        <v>0</v>
      </c>
      <c r="J15">
        <v>0</v>
      </c>
      <c r="K15">
        <v>0</v>
      </c>
      <c r="L15">
        <v>0</v>
      </c>
    </row>
    <row r="16" spans="1:12" x14ac:dyDescent="0.25">
      <c r="A16" t="s">
        <v>29</v>
      </c>
      <c r="B16" t="s">
        <v>24</v>
      </c>
      <c r="C16" t="s">
        <v>25</v>
      </c>
      <c r="D16" t="s">
        <v>30</v>
      </c>
      <c r="E16">
        <v>0</v>
      </c>
      <c r="F16">
        <v>0</v>
      </c>
      <c r="G16">
        <v>0</v>
      </c>
      <c r="H16">
        <v>0</v>
      </c>
      <c r="I16">
        <v>0</v>
      </c>
      <c r="J16">
        <v>0</v>
      </c>
      <c r="K16">
        <v>0</v>
      </c>
      <c r="L16">
        <v>0</v>
      </c>
    </row>
    <row r="17" spans="1:12" x14ac:dyDescent="0.25">
      <c r="A17" t="s">
        <v>31</v>
      </c>
      <c r="B17" t="s">
        <v>24</v>
      </c>
      <c r="C17" t="s">
        <v>25</v>
      </c>
      <c r="D17" t="s">
        <v>32</v>
      </c>
      <c r="E17">
        <v>756</v>
      </c>
      <c r="F17">
        <v>166</v>
      </c>
      <c r="G17">
        <v>1211</v>
      </c>
      <c r="H17">
        <v>12827638</v>
      </c>
      <c r="I17">
        <v>155</v>
      </c>
      <c r="J17">
        <v>64</v>
      </c>
      <c r="K17">
        <v>706</v>
      </c>
      <c r="L17">
        <v>5149265</v>
      </c>
    </row>
    <row r="18" spans="1:12" x14ac:dyDescent="0.25">
      <c r="A18" t="s">
        <v>33</v>
      </c>
      <c r="B18" t="s">
        <v>24</v>
      </c>
      <c r="C18" t="s">
        <v>25</v>
      </c>
      <c r="D18" t="s">
        <v>32</v>
      </c>
      <c r="E18">
        <v>575</v>
      </c>
      <c r="F18">
        <v>92</v>
      </c>
      <c r="G18">
        <v>1144</v>
      </c>
      <c r="H18">
        <v>14883349</v>
      </c>
      <c r="I18">
        <v>138</v>
      </c>
      <c r="J18">
        <v>66</v>
      </c>
      <c r="K18">
        <v>713</v>
      </c>
      <c r="L18">
        <v>6262030</v>
      </c>
    </row>
    <row r="19" spans="1:12" x14ac:dyDescent="0.25">
      <c r="A19" t="s">
        <v>34</v>
      </c>
      <c r="B19" t="s">
        <v>24</v>
      </c>
      <c r="C19" t="s">
        <v>25</v>
      </c>
      <c r="D19" t="s">
        <v>35</v>
      </c>
      <c r="E19">
        <v>0</v>
      </c>
      <c r="F19">
        <v>0</v>
      </c>
      <c r="G19">
        <v>0</v>
      </c>
      <c r="H19">
        <v>0</v>
      </c>
      <c r="I19">
        <v>0</v>
      </c>
      <c r="J19">
        <v>0</v>
      </c>
      <c r="K19">
        <v>0</v>
      </c>
      <c r="L19">
        <v>0</v>
      </c>
    </row>
    <row r="20" spans="1:12" x14ac:dyDescent="0.25">
      <c r="A20" t="s">
        <v>36</v>
      </c>
      <c r="B20" t="s">
        <v>24</v>
      </c>
      <c r="C20" t="s">
        <v>25</v>
      </c>
      <c r="D20" t="s">
        <v>37</v>
      </c>
      <c r="E20">
        <v>0</v>
      </c>
      <c r="F20">
        <v>0</v>
      </c>
      <c r="G20">
        <v>0</v>
      </c>
      <c r="H20">
        <v>0</v>
      </c>
      <c r="I20">
        <v>0</v>
      </c>
      <c r="J20">
        <v>0</v>
      </c>
      <c r="K20">
        <v>0</v>
      </c>
      <c r="L20">
        <v>0</v>
      </c>
    </row>
    <row r="21" spans="1:12" x14ac:dyDescent="0.25">
      <c r="A21" t="s">
        <v>38</v>
      </c>
      <c r="B21" t="s">
        <v>39</v>
      </c>
      <c r="C21" t="s">
        <v>40</v>
      </c>
      <c r="D21" t="s">
        <v>41</v>
      </c>
      <c r="E21">
        <v>543</v>
      </c>
      <c r="F21">
        <v>62</v>
      </c>
      <c r="G21">
        <v>714</v>
      </c>
      <c r="H21">
        <v>3707866</v>
      </c>
      <c r="I21">
        <v>114</v>
      </c>
      <c r="J21">
        <v>30</v>
      </c>
      <c r="K21">
        <v>351</v>
      </c>
      <c r="L21">
        <v>1417090</v>
      </c>
    </row>
    <row r="22" spans="1:12" x14ac:dyDescent="0.25">
      <c r="A22" t="s">
        <v>42</v>
      </c>
      <c r="B22" t="s">
        <v>39</v>
      </c>
      <c r="C22" t="s">
        <v>40</v>
      </c>
      <c r="D22" t="s">
        <v>41</v>
      </c>
      <c r="E22">
        <v>466</v>
      </c>
      <c r="F22">
        <v>65</v>
      </c>
      <c r="G22">
        <v>881</v>
      </c>
      <c r="H22">
        <v>17691439</v>
      </c>
      <c r="I22">
        <v>136</v>
      </c>
      <c r="J22">
        <v>35</v>
      </c>
      <c r="K22">
        <v>577</v>
      </c>
      <c r="L22">
        <v>8179379</v>
      </c>
    </row>
    <row r="23" spans="1:12" x14ac:dyDescent="0.25">
      <c r="A23" t="s">
        <v>43</v>
      </c>
      <c r="B23" t="s">
        <v>39</v>
      </c>
      <c r="C23" t="s">
        <v>40</v>
      </c>
      <c r="D23" t="s">
        <v>44</v>
      </c>
      <c r="E23">
        <v>330</v>
      </c>
      <c r="F23">
        <v>26</v>
      </c>
      <c r="G23">
        <v>813</v>
      </c>
      <c r="H23">
        <v>6733192</v>
      </c>
      <c r="I23">
        <v>91</v>
      </c>
      <c r="J23">
        <v>28</v>
      </c>
      <c r="K23">
        <v>671</v>
      </c>
      <c r="L23">
        <v>4097150</v>
      </c>
    </row>
    <row r="24" spans="1:12" x14ac:dyDescent="0.25">
      <c r="A24" t="s">
        <v>45</v>
      </c>
      <c r="B24" t="s">
        <v>39</v>
      </c>
      <c r="C24" t="s">
        <v>40</v>
      </c>
      <c r="D24" t="s">
        <v>41</v>
      </c>
      <c r="E24">
        <v>349</v>
      </c>
      <c r="F24">
        <v>36</v>
      </c>
      <c r="G24">
        <v>198</v>
      </c>
      <c r="H24">
        <v>2027387</v>
      </c>
      <c r="I24">
        <v>76</v>
      </c>
      <c r="J24">
        <v>23</v>
      </c>
      <c r="K24">
        <v>70</v>
      </c>
      <c r="L24">
        <v>1052730</v>
      </c>
    </row>
    <row r="25" spans="1:12" x14ac:dyDescent="0.25">
      <c r="A25" t="s">
        <v>46</v>
      </c>
      <c r="B25" t="s">
        <v>39</v>
      </c>
      <c r="C25" t="s">
        <v>40</v>
      </c>
      <c r="D25" t="s">
        <v>47</v>
      </c>
      <c r="E25">
        <v>336</v>
      </c>
      <c r="F25">
        <v>37</v>
      </c>
      <c r="G25">
        <v>384</v>
      </c>
      <c r="H25">
        <v>5469998</v>
      </c>
      <c r="I25">
        <v>64</v>
      </c>
      <c r="J25">
        <v>25</v>
      </c>
      <c r="K25">
        <v>247</v>
      </c>
      <c r="L25">
        <v>2917315</v>
      </c>
    </row>
    <row r="26" spans="1:12" x14ac:dyDescent="0.25">
      <c r="A26" t="s">
        <v>48</v>
      </c>
      <c r="B26" t="s">
        <v>39</v>
      </c>
      <c r="C26" t="s">
        <v>40</v>
      </c>
      <c r="D26" t="s">
        <v>49</v>
      </c>
      <c r="E26">
        <v>147</v>
      </c>
      <c r="F26">
        <v>20</v>
      </c>
      <c r="G26">
        <v>148</v>
      </c>
      <c r="H26">
        <v>1923800</v>
      </c>
      <c r="I26">
        <v>35</v>
      </c>
      <c r="J26">
        <v>10</v>
      </c>
      <c r="K26">
        <v>83</v>
      </c>
      <c r="L26">
        <v>779850</v>
      </c>
    </row>
    <row r="27" spans="1:12" x14ac:dyDescent="0.25">
      <c r="A27" t="s">
        <v>50</v>
      </c>
      <c r="B27" t="s">
        <v>39</v>
      </c>
      <c r="C27" t="s">
        <v>40</v>
      </c>
      <c r="D27" t="s">
        <v>49</v>
      </c>
      <c r="E27">
        <v>391</v>
      </c>
      <c r="F27">
        <v>22</v>
      </c>
      <c r="G27">
        <v>197</v>
      </c>
      <c r="H27">
        <v>5899070</v>
      </c>
      <c r="I27">
        <v>46</v>
      </c>
      <c r="J27">
        <v>14</v>
      </c>
      <c r="K27">
        <v>111</v>
      </c>
      <c r="L27">
        <v>1112350</v>
      </c>
    </row>
    <row r="28" spans="1:12" x14ac:dyDescent="0.25">
      <c r="A28" t="s">
        <v>51</v>
      </c>
      <c r="B28" t="s">
        <v>52</v>
      </c>
      <c r="C28" t="s">
        <v>40</v>
      </c>
      <c r="D28" t="s">
        <v>53</v>
      </c>
      <c r="E28">
        <v>511</v>
      </c>
      <c r="F28">
        <v>60</v>
      </c>
      <c r="G28">
        <v>864</v>
      </c>
      <c r="H28">
        <v>12200340</v>
      </c>
      <c r="I28">
        <v>99</v>
      </c>
      <c r="J28">
        <v>24</v>
      </c>
      <c r="K28">
        <v>462</v>
      </c>
      <c r="L28">
        <v>4742136</v>
      </c>
    </row>
    <row r="29" spans="1:12" x14ac:dyDescent="0.25">
      <c r="A29" t="s">
        <v>54</v>
      </c>
      <c r="B29" t="s">
        <v>52</v>
      </c>
      <c r="C29" t="s">
        <v>40</v>
      </c>
      <c r="D29" t="s">
        <v>53</v>
      </c>
      <c r="E29">
        <v>0</v>
      </c>
      <c r="F29">
        <v>0</v>
      </c>
      <c r="G29">
        <v>0</v>
      </c>
      <c r="H29">
        <v>0</v>
      </c>
      <c r="I29">
        <v>13</v>
      </c>
      <c r="J29">
        <v>8</v>
      </c>
      <c r="K29">
        <v>0</v>
      </c>
      <c r="L29">
        <v>0</v>
      </c>
    </row>
    <row r="30" spans="1:12" x14ac:dyDescent="0.25">
      <c r="A30" t="s">
        <v>55</v>
      </c>
      <c r="B30" t="s">
        <v>52</v>
      </c>
      <c r="C30" t="s">
        <v>40</v>
      </c>
      <c r="D30" t="s">
        <v>56</v>
      </c>
      <c r="E30">
        <v>232</v>
      </c>
      <c r="F30">
        <v>38</v>
      </c>
      <c r="G30">
        <v>375</v>
      </c>
      <c r="H30">
        <v>5331066</v>
      </c>
      <c r="I30">
        <v>100</v>
      </c>
      <c r="J30">
        <v>20</v>
      </c>
      <c r="K30">
        <v>177</v>
      </c>
      <c r="L30">
        <v>2264260</v>
      </c>
    </row>
    <row r="31" spans="1:12" x14ac:dyDescent="0.25">
      <c r="A31" t="s">
        <v>57</v>
      </c>
      <c r="B31" t="s">
        <v>52</v>
      </c>
      <c r="C31" t="s">
        <v>40</v>
      </c>
      <c r="D31" t="s">
        <v>53</v>
      </c>
      <c r="E31">
        <v>384</v>
      </c>
      <c r="F31">
        <v>63</v>
      </c>
      <c r="G31">
        <v>456</v>
      </c>
      <c r="H31">
        <v>5515065</v>
      </c>
      <c r="I31">
        <v>81</v>
      </c>
      <c r="J31">
        <v>32</v>
      </c>
      <c r="K31">
        <v>210</v>
      </c>
      <c r="L31">
        <v>2634780</v>
      </c>
    </row>
    <row r="32" spans="1:12" x14ac:dyDescent="0.25">
      <c r="A32" t="s">
        <v>58</v>
      </c>
      <c r="B32" t="s">
        <v>52</v>
      </c>
      <c r="C32" t="s">
        <v>40</v>
      </c>
      <c r="D32" t="s">
        <v>53</v>
      </c>
      <c r="E32">
        <v>291</v>
      </c>
      <c r="F32">
        <v>42</v>
      </c>
      <c r="G32">
        <v>354</v>
      </c>
      <c r="H32">
        <v>7912017</v>
      </c>
      <c r="I32">
        <v>89</v>
      </c>
      <c r="J32">
        <v>24</v>
      </c>
      <c r="K32">
        <v>168</v>
      </c>
      <c r="L32">
        <v>3744400</v>
      </c>
    </row>
    <row r="33" spans="1:12" x14ac:dyDescent="0.25">
      <c r="A33" t="s">
        <v>59</v>
      </c>
      <c r="B33" t="s">
        <v>60</v>
      </c>
      <c r="C33" t="s">
        <v>40</v>
      </c>
      <c r="D33" t="s">
        <v>61</v>
      </c>
      <c r="E33">
        <v>566</v>
      </c>
      <c r="F33">
        <v>25</v>
      </c>
      <c r="G33">
        <v>261</v>
      </c>
      <c r="H33">
        <v>3456475</v>
      </c>
      <c r="I33">
        <v>60</v>
      </c>
      <c r="J33">
        <v>13</v>
      </c>
      <c r="K33">
        <v>149</v>
      </c>
      <c r="L33">
        <v>1570835</v>
      </c>
    </row>
    <row r="34" spans="1:12" x14ac:dyDescent="0.25">
      <c r="A34" t="s">
        <v>62</v>
      </c>
      <c r="B34" t="s">
        <v>60</v>
      </c>
      <c r="C34" t="s">
        <v>40</v>
      </c>
      <c r="D34" t="s">
        <v>61</v>
      </c>
      <c r="E34">
        <v>267</v>
      </c>
      <c r="F34">
        <v>24</v>
      </c>
      <c r="G34">
        <v>253</v>
      </c>
      <c r="H34">
        <v>3028340</v>
      </c>
      <c r="I34">
        <v>47</v>
      </c>
      <c r="J34">
        <v>16</v>
      </c>
      <c r="K34">
        <v>136</v>
      </c>
      <c r="L34">
        <v>1317110</v>
      </c>
    </row>
    <row r="35" spans="1:12" x14ac:dyDescent="0.25">
      <c r="A35" t="s">
        <v>63</v>
      </c>
      <c r="B35" t="s">
        <v>60</v>
      </c>
      <c r="C35" t="s">
        <v>40</v>
      </c>
      <c r="D35" t="s">
        <v>61</v>
      </c>
      <c r="E35">
        <v>275</v>
      </c>
      <c r="F35">
        <v>14</v>
      </c>
      <c r="G35">
        <v>209</v>
      </c>
      <c r="H35">
        <v>1967290</v>
      </c>
      <c r="I35">
        <v>36</v>
      </c>
      <c r="J35">
        <v>14</v>
      </c>
      <c r="K35">
        <v>128</v>
      </c>
      <c r="L35">
        <v>1011220</v>
      </c>
    </row>
    <row r="36" spans="1:12" x14ac:dyDescent="0.25">
      <c r="A36" t="s">
        <v>64</v>
      </c>
      <c r="B36" t="s">
        <v>65</v>
      </c>
      <c r="C36" t="s">
        <v>40</v>
      </c>
      <c r="D36" t="s">
        <v>66</v>
      </c>
      <c r="E36">
        <v>164</v>
      </c>
      <c r="F36">
        <v>35</v>
      </c>
      <c r="G36">
        <v>682</v>
      </c>
      <c r="H36">
        <v>9002341</v>
      </c>
      <c r="I36">
        <v>74</v>
      </c>
      <c r="J36">
        <v>30</v>
      </c>
      <c r="K36">
        <v>412</v>
      </c>
      <c r="L36">
        <v>4515830</v>
      </c>
    </row>
    <row r="37" spans="1:12" x14ac:dyDescent="0.25">
      <c r="A37" t="s">
        <v>67</v>
      </c>
      <c r="B37" t="s">
        <v>68</v>
      </c>
      <c r="C37" t="s">
        <v>40</v>
      </c>
      <c r="D37" t="s">
        <v>69</v>
      </c>
      <c r="E37">
        <v>108</v>
      </c>
      <c r="F37">
        <v>15</v>
      </c>
      <c r="G37">
        <v>109</v>
      </c>
      <c r="H37">
        <v>1487710</v>
      </c>
      <c r="I37">
        <v>48</v>
      </c>
      <c r="J37">
        <v>10</v>
      </c>
      <c r="K37">
        <v>50</v>
      </c>
      <c r="L37">
        <v>229260</v>
      </c>
    </row>
    <row r="38" spans="1:12" x14ac:dyDescent="0.25">
      <c r="A38" t="s">
        <v>70</v>
      </c>
      <c r="B38" t="s">
        <v>68</v>
      </c>
      <c r="C38" t="s">
        <v>40</v>
      </c>
      <c r="D38" t="s">
        <v>66</v>
      </c>
      <c r="E38">
        <v>298</v>
      </c>
      <c r="F38">
        <v>34</v>
      </c>
      <c r="G38">
        <v>383</v>
      </c>
      <c r="H38">
        <v>3764508</v>
      </c>
      <c r="I38">
        <v>100</v>
      </c>
      <c r="J38">
        <v>23</v>
      </c>
      <c r="K38">
        <v>220</v>
      </c>
      <c r="L38">
        <v>1866100</v>
      </c>
    </row>
    <row r="39" spans="1:12" x14ac:dyDescent="0.25">
      <c r="A39" t="s">
        <v>71</v>
      </c>
      <c r="B39" t="s">
        <v>65</v>
      </c>
      <c r="C39" t="s">
        <v>40</v>
      </c>
      <c r="D39" t="s">
        <v>66</v>
      </c>
      <c r="E39">
        <v>311</v>
      </c>
      <c r="F39">
        <v>35</v>
      </c>
      <c r="G39">
        <v>577</v>
      </c>
      <c r="H39">
        <v>7305930</v>
      </c>
      <c r="I39">
        <v>91</v>
      </c>
      <c r="J39">
        <v>27</v>
      </c>
      <c r="K39">
        <v>398</v>
      </c>
      <c r="L39">
        <v>4257034</v>
      </c>
    </row>
    <row r="40" spans="1:12" x14ac:dyDescent="0.25">
      <c r="A40" t="s">
        <v>72</v>
      </c>
      <c r="B40" t="s">
        <v>65</v>
      </c>
      <c r="C40" t="s">
        <v>40</v>
      </c>
      <c r="D40" t="s">
        <v>66</v>
      </c>
      <c r="E40">
        <v>115</v>
      </c>
      <c r="F40">
        <v>12</v>
      </c>
      <c r="G40">
        <v>72</v>
      </c>
      <c r="H40">
        <v>1048800</v>
      </c>
      <c r="I40">
        <v>41</v>
      </c>
      <c r="J40">
        <v>10</v>
      </c>
      <c r="K40">
        <v>55</v>
      </c>
      <c r="L40">
        <v>545450</v>
      </c>
    </row>
    <row r="41" spans="1:12" x14ac:dyDescent="0.25">
      <c r="A41" t="s">
        <v>73</v>
      </c>
      <c r="B41" t="s">
        <v>68</v>
      </c>
      <c r="C41" t="s">
        <v>40</v>
      </c>
      <c r="D41" t="s">
        <v>69</v>
      </c>
      <c r="E41">
        <v>462</v>
      </c>
      <c r="F41">
        <v>135</v>
      </c>
      <c r="G41">
        <v>1513</v>
      </c>
      <c r="H41">
        <v>15001874</v>
      </c>
      <c r="I41">
        <v>167</v>
      </c>
      <c r="J41">
        <v>66</v>
      </c>
      <c r="K41">
        <v>801</v>
      </c>
      <c r="L41">
        <v>6564269</v>
      </c>
    </row>
    <row r="42" spans="1:12" x14ac:dyDescent="0.25">
      <c r="A42" t="s">
        <v>74</v>
      </c>
      <c r="B42" t="s">
        <v>68</v>
      </c>
      <c r="C42" t="s">
        <v>40</v>
      </c>
      <c r="D42" t="s">
        <v>69</v>
      </c>
      <c r="E42">
        <v>142</v>
      </c>
      <c r="F42">
        <v>26</v>
      </c>
      <c r="G42">
        <v>264</v>
      </c>
      <c r="H42">
        <v>3030707</v>
      </c>
      <c r="I42">
        <v>60</v>
      </c>
      <c r="J42">
        <v>21</v>
      </c>
      <c r="K42">
        <v>149</v>
      </c>
      <c r="L42">
        <v>1413880</v>
      </c>
    </row>
    <row r="43" spans="1:12" x14ac:dyDescent="0.25">
      <c r="A43" t="s">
        <v>75</v>
      </c>
      <c r="B43" t="s">
        <v>76</v>
      </c>
      <c r="C43" t="s">
        <v>40</v>
      </c>
      <c r="D43" t="s">
        <v>77</v>
      </c>
      <c r="E43">
        <v>393</v>
      </c>
      <c r="F43">
        <v>58</v>
      </c>
      <c r="G43">
        <v>1284</v>
      </c>
      <c r="H43">
        <v>20392721</v>
      </c>
      <c r="I43">
        <v>114</v>
      </c>
      <c r="J43">
        <v>57</v>
      </c>
      <c r="K43">
        <v>1006</v>
      </c>
      <c r="L43">
        <v>13150995</v>
      </c>
    </row>
    <row r="44" spans="1:12" x14ac:dyDescent="0.25">
      <c r="A44" t="s">
        <v>78</v>
      </c>
      <c r="B44" t="s">
        <v>76</v>
      </c>
      <c r="C44" t="s">
        <v>40</v>
      </c>
      <c r="D44" t="s">
        <v>77</v>
      </c>
      <c r="E44">
        <v>550</v>
      </c>
      <c r="F44">
        <v>68</v>
      </c>
      <c r="G44">
        <v>1148</v>
      </c>
      <c r="H44">
        <v>13375338</v>
      </c>
      <c r="I44">
        <v>149</v>
      </c>
      <c r="J44">
        <v>56</v>
      </c>
      <c r="K44">
        <v>775</v>
      </c>
      <c r="L44">
        <v>7328780</v>
      </c>
    </row>
    <row r="45" spans="1:12" x14ac:dyDescent="0.25">
      <c r="A45" t="s">
        <v>79</v>
      </c>
      <c r="B45" t="s">
        <v>76</v>
      </c>
      <c r="C45" t="s">
        <v>40</v>
      </c>
      <c r="D45" t="s">
        <v>80</v>
      </c>
      <c r="E45">
        <v>321</v>
      </c>
      <c r="F45">
        <v>62</v>
      </c>
      <c r="G45">
        <v>1712</v>
      </c>
      <c r="H45">
        <v>27461325</v>
      </c>
      <c r="I45">
        <v>118</v>
      </c>
      <c r="J45">
        <v>56</v>
      </c>
      <c r="K45">
        <v>1143</v>
      </c>
      <c r="L45">
        <v>13117758</v>
      </c>
    </row>
    <row r="46" spans="1:12" x14ac:dyDescent="0.25">
      <c r="A46" t="s">
        <v>81</v>
      </c>
      <c r="B46" t="s">
        <v>76</v>
      </c>
      <c r="C46" t="s">
        <v>40</v>
      </c>
      <c r="D46" t="s">
        <v>80</v>
      </c>
      <c r="E46">
        <v>0</v>
      </c>
      <c r="F46">
        <v>0</v>
      </c>
      <c r="G46">
        <v>0</v>
      </c>
      <c r="H46">
        <v>0</v>
      </c>
      <c r="I46">
        <v>0</v>
      </c>
      <c r="J46">
        <v>0</v>
      </c>
      <c r="K46">
        <v>0</v>
      </c>
      <c r="L46">
        <v>0</v>
      </c>
    </row>
    <row r="47" spans="1:12" x14ac:dyDescent="0.25">
      <c r="A47" t="s">
        <v>82</v>
      </c>
      <c r="B47" t="s">
        <v>76</v>
      </c>
      <c r="C47" t="s">
        <v>40</v>
      </c>
      <c r="D47" t="s">
        <v>83</v>
      </c>
      <c r="E47">
        <v>239</v>
      </c>
      <c r="F47">
        <v>21</v>
      </c>
      <c r="G47">
        <v>391</v>
      </c>
      <c r="H47">
        <v>3767100</v>
      </c>
      <c r="I47">
        <v>59</v>
      </c>
      <c r="J47">
        <v>18</v>
      </c>
      <c r="K47">
        <v>225</v>
      </c>
      <c r="L47">
        <v>2593140</v>
      </c>
    </row>
    <row r="48" spans="1:12" x14ac:dyDescent="0.25">
      <c r="A48" t="s">
        <v>84</v>
      </c>
      <c r="B48" t="s">
        <v>85</v>
      </c>
      <c r="C48" t="s">
        <v>40</v>
      </c>
      <c r="D48" t="s">
        <v>86</v>
      </c>
      <c r="E48">
        <v>0</v>
      </c>
      <c r="F48">
        <v>0</v>
      </c>
      <c r="G48">
        <v>0</v>
      </c>
      <c r="H48">
        <v>0</v>
      </c>
      <c r="I48">
        <v>0</v>
      </c>
      <c r="J48">
        <v>0</v>
      </c>
      <c r="K48">
        <v>0</v>
      </c>
      <c r="L48">
        <v>0</v>
      </c>
    </row>
    <row r="49" spans="1:12" x14ac:dyDescent="0.25">
      <c r="A49" t="s">
        <v>87</v>
      </c>
      <c r="B49" t="s">
        <v>85</v>
      </c>
      <c r="C49" t="s">
        <v>40</v>
      </c>
      <c r="D49" t="s">
        <v>88</v>
      </c>
      <c r="E49">
        <v>327</v>
      </c>
      <c r="F49">
        <v>60</v>
      </c>
      <c r="G49">
        <v>1398</v>
      </c>
      <c r="H49">
        <v>21625701</v>
      </c>
      <c r="I49">
        <v>97</v>
      </c>
      <c r="J49">
        <v>55</v>
      </c>
      <c r="K49">
        <v>682</v>
      </c>
      <c r="L49">
        <v>8232325</v>
      </c>
    </row>
    <row r="50" spans="1:12" x14ac:dyDescent="0.25">
      <c r="A50" t="s">
        <v>89</v>
      </c>
      <c r="B50" t="s">
        <v>90</v>
      </c>
      <c r="C50" t="s">
        <v>91</v>
      </c>
      <c r="D50" t="s">
        <v>92</v>
      </c>
      <c r="E50">
        <v>310</v>
      </c>
      <c r="F50">
        <v>81</v>
      </c>
      <c r="G50">
        <v>1938</v>
      </c>
      <c r="H50">
        <v>23932466</v>
      </c>
      <c r="I50">
        <v>147</v>
      </c>
      <c r="J50">
        <v>73</v>
      </c>
      <c r="K50">
        <v>1408</v>
      </c>
      <c r="L50">
        <v>14051440</v>
      </c>
    </row>
    <row r="51" spans="1:12" x14ac:dyDescent="0.25">
      <c r="A51" t="s">
        <v>93</v>
      </c>
      <c r="B51" t="s">
        <v>90</v>
      </c>
      <c r="C51" t="s">
        <v>91</v>
      </c>
      <c r="D51" t="s">
        <v>92</v>
      </c>
      <c r="E51">
        <v>519</v>
      </c>
      <c r="F51">
        <v>129</v>
      </c>
      <c r="G51">
        <v>2963</v>
      </c>
      <c r="H51">
        <v>38539432</v>
      </c>
      <c r="I51">
        <v>215</v>
      </c>
      <c r="J51">
        <v>104</v>
      </c>
      <c r="K51">
        <v>1892</v>
      </c>
      <c r="L51">
        <v>19194165</v>
      </c>
    </row>
    <row r="52" spans="1:12" x14ac:dyDescent="0.25">
      <c r="A52" t="s">
        <v>94</v>
      </c>
      <c r="B52" t="s">
        <v>95</v>
      </c>
      <c r="C52" t="s">
        <v>91</v>
      </c>
      <c r="D52" t="s">
        <v>92</v>
      </c>
      <c r="E52">
        <v>202</v>
      </c>
      <c r="F52">
        <v>51</v>
      </c>
      <c r="G52">
        <v>1010</v>
      </c>
      <c r="H52">
        <v>9817955</v>
      </c>
      <c r="I52">
        <v>90</v>
      </c>
      <c r="J52">
        <v>38</v>
      </c>
      <c r="K52">
        <v>724</v>
      </c>
      <c r="L52">
        <v>4482150</v>
      </c>
    </row>
    <row r="53" spans="1:12" x14ac:dyDescent="0.25">
      <c r="A53" t="s">
        <v>96</v>
      </c>
      <c r="B53" t="s">
        <v>95</v>
      </c>
      <c r="C53" t="s">
        <v>91</v>
      </c>
      <c r="D53" t="s">
        <v>92</v>
      </c>
      <c r="E53">
        <v>203</v>
      </c>
      <c r="F53">
        <v>48</v>
      </c>
      <c r="G53">
        <v>1054</v>
      </c>
      <c r="H53">
        <v>11620690</v>
      </c>
      <c r="I53">
        <v>82</v>
      </c>
      <c r="J53">
        <v>49</v>
      </c>
      <c r="K53">
        <v>651</v>
      </c>
      <c r="L53">
        <v>5525360</v>
      </c>
    </row>
    <row r="54" spans="1:12" x14ac:dyDescent="0.25">
      <c r="A54" t="s">
        <v>97</v>
      </c>
      <c r="B54" t="s">
        <v>95</v>
      </c>
      <c r="C54" t="s">
        <v>91</v>
      </c>
      <c r="D54" t="s">
        <v>92</v>
      </c>
      <c r="E54">
        <v>351</v>
      </c>
      <c r="F54">
        <v>77</v>
      </c>
      <c r="G54">
        <v>1495</v>
      </c>
      <c r="H54">
        <v>18616301</v>
      </c>
      <c r="I54">
        <v>129</v>
      </c>
      <c r="J54">
        <v>66</v>
      </c>
      <c r="K54">
        <v>1015</v>
      </c>
      <c r="L54">
        <v>9861566</v>
      </c>
    </row>
    <row r="55" spans="1:12" x14ac:dyDescent="0.25">
      <c r="A55" t="s">
        <v>98</v>
      </c>
      <c r="B55" t="s">
        <v>95</v>
      </c>
      <c r="C55" t="s">
        <v>91</v>
      </c>
      <c r="D55" t="s">
        <v>92</v>
      </c>
      <c r="E55">
        <v>0</v>
      </c>
      <c r="F55">
        <v>0</v>
      </c>
      <c r="G55">
        <v>0</v>
      </c>
      <c r="H55">
        <v>0</v>
      </c>
      <c r="I55">
        <v>11</v>
      </c>
      <c r="J55">
        <v>5</v>
      </c>
      <c r="K55">
        <v>0</v>
      </c>
      <c r="L55">
        <v>0</v>
      </c>
    </row>
    <row r="56" spans="1:12" x14ac:dyDescent="0.25">
      <c r="A56" t="s">
        <v>99</v>
      </c>
      <c r="B56" t="s">
        <v>95</v>
      </c>
      <c r="C56" t="s">
        <v>91</v>
      </c>
      <c r="D56" t="s">
        <v>92</v>
      </c>
      <c r="E56">
        <v>9</v>
      </c>
      <c r="F56">
        <v>4</v>
      </c>
      <c r="G56">
        <v>45</v>
      </c>
      <c r="H56">
        <v>872610</v>
      </c>
      <c r="I56">
        <v>18</v>
      </c>
      <c r="J56">
        <v>13</v>
      </c>
      <c r="K56">
        <v>33</v>
      </c>
      <c r="L56">
        <v>491810</v>
      </c>
    </row>
    <row r="57" spans="1:12" x14ac:dyDescent="0.25">
      <c r="A57" t="s">
        <v>100</v>
      </c>
      <c r="B57" t="s">
        <v>90</v>
      </c>
      <c r="C57" t="s">
        <v>91</v>
      </c>
      <c r="D57" t="s">
        <v>92</v>
      </c>
      <c r="E57">
        <v>7</v>
      </c>
      <c r="F57">
        <v>7</v>
      </c>
      <c r="G57">
        <v>48</v>
      </c>
      <c r="H57">
        <v>411250</v>
      </c>
      <c r="I57">
        <v>46</v>
      </c>
      <c r="J57">
        <v>31</v>
      </c>
      <c r="K57">
        <v>27</v>
      </c>
      <c r="L57">
        <v>202350</v>
      </c>
    </row>
    <row r="58" spans="1:12" x14ac:dyDescent="0.25">
      <c r="A58" t="s">
        <v>101</v>
      </c>
      <c r="B58" t="s">
        <v>90</v>
      </c>
      <c r="C58" t="s">
        <v>91</v>
      </c>
      <c r="D58" t="s">
        <v>92</v>
      </c>
      <c r="E58">
        <v>3</v>
      </c>
      <c r="F58">
        <v>0</v>
      </c>
      <c r="G58">
        <v>0</v>
      </c>
      <c r="H58">
        <v>0</v>
      </c>
      <c r="I58">
        <v>4</v>
      </c>
      <c r="J58">
        <v>1</v>
      </c>
      <c r="K58">
        <v>0</v>
      </c>
      <c r="L58">
        <v>0</v>
      </c>
    </row>
    <row r="59" spans="1:12" x14ac:dyDescent="0.25">
      <c r="A59" t="s">
        <v>102</v>
      </c>
      <c r="B59" t="s">
        <v>90</v>
      </c>
      <c r="C59" t="s">
        <v>91</v>
      </c>
      <c r="D59" t="s">
        <v>92</v>
      </c>
      <c r="E59">
        <v>461</v>
      </c>
      <c r="F59">
        <v>107</v>
      </c>
      <c r="G59">
        <v>1422</v>
      </c>
      <c r="H59">
        <v>23119673</v>
      </c>
      <c r="I59">
        <v>173</v>
      </c>
      <c r="J59">
        <v>87</v>
      </c>
      <c r="K59">
        <v>892</v>
      </c>
      <c r="L59">
        <v>11820690</v>
      </c>
    </row>
    <row r="60" spans="1:12" x14ac:dyDescent="0.25">
      <c r="A60" t="s">
        <v>103</v>
      </c>
      <c r="B60" t="s">
        <v>90</v>
      </c>
      <c r="C60" t="s">
        <v>91</v>
      </c>
      <c r="D60" t="s">
        <v>92</v>
      </c>
      <c r="E60">
        <v>679</v>
      </c>
      <c r="F60">
        <v>107</v>
      </c>
      <c r="G60">
        <v>1135</v>
      </c>
      <c r="H60">
        <v>16263592</v>
      </c>
      <c r="I60">
        <v>166</v>
      </c>
      <c r="J60">
        <v>69</v>
      </c>
      <c r="K60">
        <v>686</v>
      </c>
      <c r="L60">
        <v>6652897</v>
      </c>
    </row>
    <row r="61" spans="1:12" x14ac:dyDescent="0.25">
      <c r="A61" t="s">
        <v>104</v>
      </c>
      <c r="B61" t="s">
        <v>105</v>
      </c>
      <c r="C61" t="s">
        <v>91</v>
      </c>
      <c r="D61" t="s">
        <v>106</v>
      </c>
      <c r="E61">
        <v>291</v>
      </c>
      <c r="F61">
        <v>71</v>
      </c>
      <c r="G61">
        <v>914</v>
      </c>
      <c r="H61">
        <v>14921402</v>
      </c>
      <c r="I61">
        <v>135</v>
      </c>
      <c r="J61">
        <v>50</v>
      </c>
      <c r="K61">
        <v>498</v>
      </c>
      <c r="L61">
        <v>5380050</v>
      </c>
    </row>
    <row r="62" spans="1:12" x14ac:dyDescent="0.25">
      <c r="A62" t="s">
        <v>107</v>
      </c>
      <c r="B62" t="s">
        <v>105</v>
      </c>
      <c r="C62" t="s">
        <v>91</v>
      </c>
      <c r="D62" t="s">
        <v>106</v>
      </c>
      <c r="E62">
        <v>384</v>
      </c>
      <c r="F62">
        <v>78</v>
      </c>
      <c r="G62">
        <v>1259</v>
      </c>
      <c r="H62">
        <v>16384165</v>
      </c>
      <c r="I62">
        <v>148</v>
      </c>
      <c r="J62">
        <v>76</v>
      </c>
      <c r="K62">
        <v>948</v>
      </c>
      <c r="L62">
        <v>8054700</v>
      </c>
    </row>
    <row r="63" spans="1:12" x14ac:dyDescent="0.25">
      <c r="A63" t="s">
        <v>108</v>
      </c>
      <c r="B63" t="s">
        <v>105</v>
      </c>
      <c r="C63" t="s">
        <v>91</v>
      </c>
      <c r="D63" t="s">
        <v>106</v>
      </c>
      <c r="E63">
        <v>811</v>
      </c>
      <c r="F63">
        <v>194</v>
      </c>
      <c r="G63">
        <v>1457</v>
      </c>
      <c r="H63">
        <v>29416322</v>
      </c>
      <c r="I63">
        <v>222</v>
      </c>
      <c r="J63">
        <v>71</v>
      </c>
      <c r="K63">
        <v>634</v>
      </c>
      <c r="L63">
        <v>10419790</v>
      </c>
    </row>
    <row r="64" spans="1:12" x14ac:dyDescent="0.25">
      <c r="A64" t="s">
        <v>109</v>
      </c>
      <c r="B64" t="s">
        <v>90</v>
      </c>
      <c r="C64" t="s">
        <v>91</v>
      </c>
      <c r="D64" t="s">
        <v>110</v>
      </c>
      <c r="E64">
        <v>475</v>
      </c>
      <c r="F64">
        <v>78</v>
      </c>
      <c r="G64">
        <v>560</v>
      </c>
      <c r="H64">
        <v>4818318</v>
      </c>
      <c r="I64">
        <v>125</v>
      </c>
      <c r="J64">
        <v>31</v>
      </c>
      <c r="K64">
        <v>222</v>
      </c>
      <c r="L64">
        <v>1257420</v>
      </c>
    </row>
    <row r="65" spans="1:12" x14ac:dyDescent="0.25">
      <c r="A65" t="s">
        <v>111</v>
      </c>
      <c r="B65" t="s">
        <v>90</v>
      </c>
      <c r="C65" t="s">
        <v>91</v>
      </c>
      <c r="D65" t="s">
        <v>112</v>
      </c>
      <c r="E65">
        <v>117</v>
      </c>
      <c r="F65">
        <v>17</v>
      </c>
      <c r="G65">
        <v>437</v>
      </c>
      <c r="H65">
        <v>7365850</v>
      </c>
      <c r="I65">
        <v>36</v>
      </c>
      <c r="J65">
        <v>18</v>
      </c>
      <c r="K65">
        <v>210</v>
      </c>
      <c r="L65">
        <v>3694900</v>
      </c>
    </row>
    <row r="66" spans="1:12" x14ac:dyDescent="0.25">
      <c r="A66" t="s">
        <v>113</v>
      </c>
      <c r="B66" t="s">
        <v>105</v>
      </c>
      <c r="C66" t="s">
        <v>91</v>
      </c>
      <c r="D66" t="s">
        <v>114</v>
      </c>
      <c r="E66">
        <v>513</v>
      </c>
      <c r="F66">
        <v>168</v>
      </c>
      <c r="G66">
        <v>1519</v>
      </c>
      <c r="H66">
        <v>21525657</v>
      </c>
      <c r="I66">
        <v>153</v>
      </c>
      <c r="J66">
        <v>55</v>
      </c>
      <c r="K66">
        <v>573</v>
      </c>
      <c r="L66">
        <v>9177100</v>
      </c>
    </row>
    <row r="67" spans="1:12" x14ac:dyDescent="0.25">
      <c r="A67" t="s">
        <v>115</v>
      </c>
      <c r="B67" t="s">
        <v>116</v>
      </c>
      <c r="C67" t="s">
        <v>117</v>
      </c>
      <c r="D67" t="s">
        <v>118</v>
      </c>
      <c r="E67">
        <v>230</v>
      </c>
      <c r="F67">
        <v>46</v>
      </c>
      <c r="G67">
        <v>598</v>
      </c>
      <c r="H67">
        <v>8619832</v>
      </c>
      <c r="I67">
        <v>62</v>
      </c>
      <c r="J67">
        <v>27</v>
      </c>
      <c r="K67">
        <v>355</v>
      </c>
      <c r="L67">
        <v>3684820</v>
      </c>
    </row>
    <row r="68" spans="1:12" x14ac:dyDescent="0.25">
      <c r="A68" t="s">
        <v>119</v>
      </c>
      <c r="B68" t="s">
        <v>120</v>
      </c>
      <c r="C68" t="s">
        <v>117</v>
      </c>
      <c r="D68" t="s">
        <v>121</v>
      </c>
      <c r="E68">
        <v>4</v>
      </c>
      <c r="F68">
        <v>3</v>
      </c>
      <c r="G68">
        <v>9</v>
      </c>
      <c r="H68">
        <v>95500</v>
      </c>
      <c r="I68">
        <v>1</v>
      </c>
      <c r="J68">
        <v>1</v>
      </c>
      <c r="K68">
        <v>1</v>
      </c>
      <c r="L68">
        <v>1700</v>
      </c>
    </row>
    <row r="69" spans="1:12" x14ac:dyDescent="0.25">
      <c r="A69" t="s">
        <v>122</v>
      </c>
      <c r="B69" t="s">
        <v>116</v>
      </c>
      <c r="C69" t="s">
        <v>117</v>
      </c>
      <c r="D69" t="s">
        <v>121</v>
      </c>
      <c r="E69">
        <v>1</v>
      </c>
      <c r="F69">
        <v>0</v>
      </c>
      <c r="G69">
        <v>0</v>
      </c>
      <c r="H69">
        <v>0</v>
      </c>
      <c r="I69">
        <v>11</v>
      </c>
      <c r="J69">
        <v>8</v>
      </c>
      <c r="K69">
        <v>0</v>
      </c>
      <c r="L69">
        <v>0</v>
      </c>
    </row>
    <row r="70" spans="1:12" x14ac:dyDescent="0.25">
      <c r="A70" t="s">
        <v>123</v>
      </c>
      <c r="B70" t="s">
        <v>116</v>
      </c>
      <c r="C70" t="s">
        <v>117</v>
      </c>
      <c r="D70" t="s">
        <v>121</v>
      </c>
      <c r="E70">
        <v>0</v>
      </c>
      <c r="F70">
        <v>0</v>
      </c>
      <c r="G70">
        <v>0</v>
      </c>
      <c r="H70">
        <v>0</v>
      </c>
      <c r="I70">
        <v>0</v>
      </c>
      <c r="J70">
        <v>0</v>
      </c>
      <c r="K70">
        <v>0</v>
      </c>
      <c r="L70">
        <v>0</v>
      </c>
    </row>
    <row r="71" spans="1:12" x14ac:dyDescent="0.25">
      <c r="A71" t="s">
        <v>124</v>
      </c>
      <c r="B71" t="s">
        <v>116</v>
      </c>
      <c r="C71" t="s">
        <v>117</v>
      </c>
      <c r="D71" t="s">
        <v>121</v>
      </c>
      <c r="E71">
        <v>360</v>
      </c>
      <c r="F71">
        <v>54</v>
      </c>
      <c r="G71">
        <v>440</v>
      </c>
      <c r="H71">
        <v>8086414</v>
      </c>
      <c r="I71">
        <v>111</v>
      </c>
      <c r="J71">
        <v>19</v>
      </c>
      <c r="K71">
        <v>166</v>
      </c>
      <c r="L71">
        <v>3450350</v>
      </c>
    </row>
    <row r="72" spans="1:12" x14ac:dyDescent="0.25">
      <c r="A72" t="s">
        <v>125</v>
      </c>
      <c r="B72" t="s">
        <v>116</v>
      </c>
      <c r="C72" t="s">
        <v>117</v>
      </c>
      <c r="D72" t="s">
        <v>121</v>
      </c>
      <c r="E72">
        <v>460</v>
      </c>
      <c r="F72">
        <v>73</v>
      </c>
      <c r="G72">
        <v>629</v>
      </c>
      <c r="H72">
        <v>5542201</v>
      </c>
      <c r="I72">
        <v>85</v>
      </c>
      <c r="J72">
        <v>26</v>
      </c>
      <c r="K72">
        <v>230</v>
      </c>
      <c r="L72">
        <v>2499995</v>
      </c>
    </row>
    <row r="73" spans="1:12" x14ac:dyDescent="0.25">
      <c r="A73" t="s">
        <v>126</v>
      </c>
      <c r="B73" t="s">
        <v>120</v>
      </c>
      <c r="C73" t="s">
        <v>117</v>
      </c>
      <c r="D73" t="s">
        <v>121</v>
      </c>
      <c r="E73">
        <v>147</v>
      </c>
      <c r="F73">
        <v>22</v>
      </c>
      <c r="G73">
        <v>419</v>
      </c>
      <c r="H73">
        <v>2569664</v>
      </c>
      <c r="I73">
        <v>30</v>
      </c>
      <c r="J73">
        <v>10</v>
      </c>
      <c r="K73">
        <v>86</v>
      </c>
      <c r="L73">
        <v>1251950</v>
      </c>
    </row>
    <row r="74" spans="1:12" x14ac:dyDescent="0.25">
      <c r="A74" t="s">
        <v>127</v>
      </c>
      <c r="B74" t="s">
        <v>120</v>
      </c>
      <c r="C74" t="s">
        <v>117</v>
      </c>
      <c r="D74" t="s">
        <v>121</v>
      </c>
      <c r="E74">
        <v>3</v>
      </c>
      <c r="F74">
        <v>2</v>
      </c>
      <c r="G74">
        <v>5</v>
      </c>
      <c r="H74">
        <v>24650</v>
      </c>
      <c r="I74">
        <v>6</v>
      </c>
      <c r="J74">
        <v>5</v>
      </c>
      <c r="K74">
        <v>2</v>
      </c>
      <c r="L74">
        <v>1450</v>
      </c>
    </row>
    <row r="75" spans="1:12" x14ac:dyDescent="0.25">
      <c r="A75" t="s">
        <v>128</v>
      </c>
      <c r="B75" t="s">
        <v>129</v>
      </c>
      <c r="C75" t="s">
        <v>40</v>
      </c>
      <c r="D75" t="s">
        <v>130</v>
      </c>
      <c r="E75">
        <v>161</v>
      </c>
      <c r="F75">
        <v>38</v>
      </c>
      <c r="G75">
        <v>525</v>
      </c>
      <c r="H75">
        <v>11852730</v>
      </c>
      <c r="I75">
        <v>69</v>
      </c>
      <c r="J75">
        <v>19</v>
      </c>
      <c r="K75">
        <v>282</v>
      </c>
      <c r="L75">
        <v>5215880</v>
      </c>
    </row>
    <row r="76" spans="1:12" x14ac:dyDescent="0.25">
      <c r="A76" t="s">
        <v>131</v>
      </c>
      <c r="B76" t="s">
        <v>129</v>
      </c>
      <c r="C76" t="s">
        <v>40</v>
      </c>
      <c r="D76" t="s">
        <v>132</v>
      </c>
      <c r="E76">
        <v>94</v>
      </c>
      <c r="F76">
        <v>24</v>
      </c>
      <c r="G76">
        <v>399</v>
      </c>
      <c r="H76">
        <v>2918173</v>
      </c>
      <c r="I76">
        <v>43</v>
      </c>
      <c r="J76">
        <v>19</v>
      </c>
      <c r="K76">
        <v>177</v>
      </c>
      <c r="L76">
        <v>1632367</v>
      </c>
    </row>
    <row r="77" spans="1:12" x14ac:dyDescent="0.25">
      <c r="A77" t="s">
        <v>133</v>
      </c>
      <c r="B77" t="s">
        <v>129</v>
      </c>
      <c r="C77" t="s">
        <v>40</v>
      </c>
      <c r="D77" t="s">
        <v>56</v>
      </c>
      <c r="E77">
        <v>0</v>
      </c>
      <c r="F77">
        <v>0</v>
      </c>
      <c r="G77">
        <v>0</v>
      </c>
      <c r="H77">
        <v>0</v>
      </c>
      <c r="I77">
        <v>0</v>
      </c>
      <c r="J77">
        <v>0</v>
      </c>
      <c r="K77">
        <v>0</v>
      </c>
      <c r="L77">
        <v>0</v>
      </c>
    </row>
    <row r="78" spans="1:12" x14ac:dyDescent="0.25">
      <c r="A78" t="s">
        <v>134</v>
      </c>
      <c r="B78" t="s">
        <v>129</v>
      </c>
      <c r="C78" t="s">
        <v>40</v>
      </c>
      <c r="D78" t="s">
        <v>56</v>
      </c>
      <c r="E78">
        <v>0</v>
      </c>
      <c r="F78">
        <v>0</v>
      </c>
      <c r="G78">
        <v>0</v>
      </c>
      <c r="H78">
        <v>0</v>
      </c>
      <c r="I78">
        <v>0</v>
      </c>
      <c r="J78">
        <v>0</v>
      </c>
      <c r="K78">
        <v>0</v>
      </c>
      <c r="L78">
        <v>0</v>
      </c>
    </row>
    <row r="79" spans="1:12" x14ac:dyDescent="0.25">
      <c r="A79" t="s">
        <v>135</v>
      </c>
      <c r="B79" t="s">
        <v>129</v>
      </c>
      <c r="C79" t="s">
        <v>40</v>
      </c>
      <c r="D79" t="s">
        <v>136</v>
      </c>
      <c r="E79">
        <v>153</v>
      </c>
      <c r="F79">
        <v>27</v>
      </c>
      <c r="G79">
        <v>111</v>
      </c>
      <c r="H79">
        <v>2343621</v>
      </c>
      <c r="I79">
        <v>53</v>
      </c>
      <c r="J79">
        <v>15</v>
      </c>
      <c r="K79">
        <v>58</v>
      </c>
      <c r="L79">
        <v>925080</v>
      </c>
    </row>
    <row r="80" spans="1:12" x14ac:dyDescent="0.25">
      <c r="A80" t="s">
        <v>137</v>
      </c>
      <c r="B80" t="s">
        <v>129</v>
      </c>
      <c r="C80" t="s">
        <v>40</v>
      </c>
      <c r="D80" t="s">
        <v>138</v>
      </c>
      <c r="E80">
        <v>97</v>
      </c>
      <c r="F80">
        <v>8</v>
      </c>
      <c r="G80">
        <v>43</v>
      </c>
      <c r="H80">
        <v>1403989</v>
      </c>
      <c r="I80">
        <v>34</v>
      </c>
      <c r="J80">
        <v>5</v>
      </c>
      <c r="K80">
        <v>25</v>
      </c>
      <c r="L80">
        <v>538070</v>
      </c>
    </row>
    <row r="81" spans="1:12" x14ac:dyDescent="0.25">
      <c r="A81" t="s">
        <v>139</v>
      </c>
      <c r="B81" t="s">
        <v>129</v>
      </c>
      <c r="C81" t="s">
        <v>40</v>
      </c>
      <c r="D81" t="s">
        <v>140</v>
      </c>
      <c r="E81">
        <v>89</v>
      </c>
      <c r="F81">
        <v>12</v>
      </c>
      <c r="G81">
        <v>172</v>
      </c>
      <c r="H81">
        <v>3073010</v>
      </c>
      <c r="I81">
        <v>24</v>
      </c>
      <c r="J81">
        <v>9</v>
      </c>
      <c r="K81">
        <v>99</v>
      </c>
      <c r="L81">
        <v>1707300</v>
      </c>
    </row>
    <row r="82" spans="1:12" x14ac:dyDescent="0.25">
      <c r="A82" t="s">
        <v>141</v>
      </c>
      <c r="B82" t="s">
        <v>8</v>
      </c>
      <c r="C82" t="s">
        <v>9</v>
      </c>
      <c r="D82" t="s">
        <v>140</v>
      </c>
      <c r="E82">
        <v>319</v>
      </c>
      <c r="F82">
        <v>60</v>
      </c>
      <c r="G82">
        <v>616</v>
      </c>
      <c r="H82">
        <v>7983299</v>
      </c>
      <c r="I82">
        <v>81</v>
      </c>
      <c r="J82">
        <v>27</v>
      </c>
      <c r="K82">
        <v>296</v>
      </c>
      <c r="L82">
        <v>3055043</v>
      </c>
    </row>
    <row r="83" spans="1:12" x14ac:dyDescent="0.25">
      <c r="A83" t="s">
        <v>142</v>
      </c>
      <c r="B83" t="s">
        <v>8</v>
      </c>
      <c r="C83" t="s">
        <v>9</v>
      </c>
      <c r="D83" t="s">
        <v>140</v>
      </c>
      <c r="E83">
        <v>10</v>
      </c>
      <c r="F83">
        <v>1</v>
      </c>
      <c r="G83">
        <v>9</v>
      </c>
      <c r="H83">
        <v>48450</v>
      </c>
      <c r="I83">
        <v>4</v>
      </c>
      <c r="J83">
        <v>1</v>
      </c>
      <c r="K83">
        <v>9</v>
      </c>
      <c r="L83">
        <v>48450</v>
      </c>
    </row>
    <row r="84" spans="1:12" x14ac:dyDescent="0.25">
      <c r="A84" t="s">
        <v>143</v>
      </c>
      <c r="B84" t="s">
        <v>16</v>
      </c>
      <c r="C84" t="s">
        <v>9</v>
      </c>
      <c r="D84" t="s">
        <v>140</v>
      </c>
      <c r="E84">
        <v>713</v>
      </c>
      <c r="F84">
        <v>188</v>
      </c>
      <c r="G84">
        <v>3610</v>
      </c>
      <c r="H84">
        <v>40768364</v>
      </c>
      <c r="I84">
        <v>304</v>
      </c>
      <c r="J84">
        <v>121</v>
      </c>
      <c r="K84">
        <v>2151</v>
      </c>
      <c r="L84">
        <v>20419117</v>
      </c>
    </row>
    <row r="85" spans="1:12" x14ac:dyDescent="0.25">
      <c r="A85" t="s">
        <v>207</v>
      </c>
      <c r="B85" t="s">
        <v>52</v>
      </c>
      <c r="C85" t="s">
        <v>40</v>
      </c>
      <c r="D85" t="s">
        <v>140</v>
      </c>
      <c r="E85">
        <v>0</v>
      </c>
      <c r="F85">
        <v>0</v>
      </c>
      <c r="G85">
        <v>0</v>
      </c>
      <c r="H85">
        <v>0</v>
      </c>
      <c r="I85">
        <v>2</v>
      </c>
      <c r="J85">
        <v>0</v>
      </c>
      <c r="K85">
        <v>0</v>
      </c>
      <c r="L85">
        <v>0</v>
      </c>
    </row>
    <row r="86" spans="1:12" x14ac:dyDescent="0.25">
      <c r="A86" t="s">
        <v>145</v>
      </c>
      <c r="B86" t="s">
        <v>52</v>
      </c>
      <c r="C86" t="s">
        <v>40</v>
      </c>
      <c r="D86" t="s">
        <v>140</v>
      </c>
      <c r="E86">
        <v>0</v>
      </c>
      <c r="F86">
        <v>0</v>
      </c>
      <c r="G86">
        <v>0</v>
      </c>
      <c r="H86">
        <v>0</v>
      </c>
      <c r="I86">
        <v>3</v>
      </c>
      <c r="J86">
        <v>2</v>
      </c>
      <c r="K86">
        <v>0</v>
      </c>
      <c r="L86">
        <v>0</v>
      </c>
    </row>
    <row r="87" spans="1:12" x14ac:dyDescent="0.25">
      <c r="A87" t="s">
        <v>146</v>
      </c>
      <c r="B87" t="s">
        <v>76</v>
      </c>
      <c r="C87" t="s">
        <v>40</v>
      </c>
      <c r="D87" t="s">
        <v>77</v>
      </c>
      <c r="E87">
        <v>84</v>
      </c>
      <c r="F87">
        <v>3</v>
      </c>
      <c r="G87">
        <v>50</v>
      </c>
      <c r="H87">
        <v>702000</v>
      </c>
      <c r="I87">
        <v>30</v>
      </c>
      <c r="J87">
        <v>13</v>
      </c>
      <c r="K87">
        <v>21</v>
      </c>
      <c r="L87">
        <v>393700</v>
      </c>
    </row>
    <row r="88" spans="1:12" x14ac:dyDescent="0.25">
      <c r="A88" t="s">
        <v>147</v>
      </c>
      <c r="B88" t="s">
        <v>76</v>
      </c>
      <c r="C88" t="s">
        <v>40</v>
      </c>
      <c r="D88" t="s">
        <v>77</v>
      </c>
      <c r="E88">
        <v>160</v>
      </c>
      <c r="F88">
        <v>16</v>
      </c>
      <c r="G88">
        <v>324</v>
      </c>
      <c r="H88">
        <v>5542955</v>
      </c>
      <c r="I88">
        <v>35</v>
      </c>
      <c r="J88">
        <v>17</v>
      </c>
      <c r="K88">
        <v>216</v>
      </c>
      <c r="L88">
        <v>2956370</v>
      </c>
    </row>
    <row r="89" spans="1:12" x14ac:dyDescent="0.25">
      <c r="A89" t="s">
        <v>148</v>
      </c>
      <c r="B89" t="s">
        <v>8</v>
      </c>
      <c r="C89" t="s">
        <v>9</v>
      </c>
      <c r="D89" t="s">
        <v>10</v>
      </c>
      <c r="E89">
        <v>0</v>
      </c>
      <c r="F89">
        <v>0</v>
      </c>
      <c r="G89">
        <v>0</v>
      </c>
      <c r="H89">
        <v>0</v>
      </c>
      <c r="I89">
        <v>0</v>
      </c>
      <c r="J89">
        <v>0</v>
      </c>
      <c r="K89">
        <v>0</v>
      </c>
      <c r="L89">
        <v>0</v>
      </c>
    </row>
    <row r="90" spans="1:12" x14ac:dyDescent="0.25">
      <c r="A90" t="s">
        <v>149</v>
      </c>
      <c r="B90" t="s">
        <v>39</v>
      </c>
      <c r="C90" t="s">
        <v>40</v>
      </c>
      <c r="D90" t="s">
        <v>41</v>
      </c>
      <c r="E90">
        <v>299</v>
      </c>
      <c r="F90">
        <v>39</v>
      </c>
      <c r="G90">
        <v>384</v>
      </c>
      <c r="H90">
        <v>4439853</v>
      </c>
      <c r="I90">
        <v>113</v>
      </c>
      <c r="J90">
        <v>25</v>
      </c>
      <c r="K90">
        <v>232</v>
      </c>
      <c r="L90">
        <v>2007710</v>
      </c>
    </row>
    <row r="91" spans="1:12" x14ac:dyDescent="0.25">
      <c r="A91" t="s">
        <v>150</v>
      </c>
      <c r="B91" t="s">
        <v>39</v>
      </c>
      <c r="C91" t="s">
        <v>40</v>
      </c>
      <c r="D91" t="s">
        <v>41</v>
      </c>
      <c r="E91">
        <v>345</v>
      </c>
      <c r="F91">
        <v>30</v>
      </c>
      <c r="G91">
        <v>249</v>
      </c>
      <c r="H91">
        <v>1761740</v>
      </c>
      <c r="I91">
        <v>71</v>
      </c>
      <c r="J91">
        <v>21</v>
      </c>
      <c r="K91">
        <v>128</v>
      </c>
      <c r="L91">
        <v>1130610</v>
      </c>
    </row>
    <row r="92" spans="1:12" x14ac:dyDescent="0.25">
      <c r="A92" t="s">
        <v>151</v>
      </c>
      <c r="B92" t="s">
        <v>85</v>
      </c>
      <c r="C92" t="s">
        <v>40</v>
      </c>
      <c r="D92" t="s">
        <v>86</v>
      </c>
      <c r="E92">
        <v>375</v>
      </c>
      <c r="F92">
        <v>36</v>
      </c>
      <c r="G92">
        <v>499</v>
      </c>
      <c r="H92">
        <v>5997048</v>
      </c>
      <c r="I92">
        <v>98</v>
      </c>
      <c r="J92">
        <v>33</v>
      </c>
      <c r="K92">
        <v>273</v>
      </c>
      <c r="L92">
        <v>3180500</v>
      </c>
    </row>
    <row r="93" spans="1:12" x14ac:dyDescent="0.25">
      <c r="A93" t="s">
        <v>152</v>
      </c>
      <c r="B93" t="s">
        <v>85</v>
      </c>
      <c r="C93" t="s">
        <v>40</v>
      </c>
      <c r="D93" t="s">
        <v>88</v>
      </c>
      <c r="E93">
        <v>99</v>
      </c>
      <c r="F93">
        <v>12</v>
      </c>
      <c r="G93">
        <v>90</v>
      </c>
      <c r="H93">
        <v>520180</v>
      </c>
      <c r="I93">
        <v>38</v>
      </c>
      <c r="J93">
        <v>14</v>
      </c>
      <c r="K93">
        <v>50</v>
      </c>
      <c r="L93">
        <v>397180</v>
      </c>
    </row>
    <row r="94" spans="1:12" x14ac:dyDescent="0.25">
      <c r="A94" t="s">
        <v>153</v>
      </c>
      <c r="B94" t="s">
        <v>24</v>
      </c>
      <c r="C94" t="s">
        <v>25</v>
      </c>
      <c r="D94" t="s">
        <v>26</v>
      </c>
      <c r="E94">
        <v>0</v>
      </c>
      <c r="F94">
        <v>0</v>
      </c>
      <c r="G94">
        <v>0</v>
      </c>
      <c r="H94">
        <v>0</v>
      </c>
      <c r="I94">
        <v>9</v>
      </c>
      <c r="J94">
        <v>4</v>
      </c>
      <c r="K94">
        <v>0</v>
      </c>
      <c r="L94">
        <v>0</v>
      </c>
    </row>
    <row r="95" spans="1:12" x14ac:dyDescent="0.25">
      <c r="A95" t="s">
        <v>154</v>
      </c>
      <c r="B95" t="s">
        <v>155</v>
      </c>
      <c r="C95" t="s">
        <v>9</v>
      </c>
      <c r="D95" t="s">
        <v>10</v>
      </c>
      <c r="E95">
        <v>0</v>
      </c>
      <c r="F95">
        <v>0</v>
      </c>
      <c r="G95">
        <v>0</v>
      </c>
      <c r="H95">
        <v>0</v>
      </c>
      <c r="I95">
        <v>1</v>
      </c>
      <c r="J95">
        <v>1</v>
      </c>
      <c r="K95">
        <v>0</v>
      </c>
      <c r="L95">
        <v>0</v>
      </c>
    </row>
    <row r="96" spans="1:12" x14ac:dyDescent="0.25">
      <c r="A96" t="s">
        <v>156</v>
      </c>
      <c r="B96" t="s">
        <v>155</v>
      </c>
      <c r="C96" t="s">
        <v>9</v>
      </c>
      <c r="D96" t="s">
        <v>10</v>
      </c>
      <c r="E96">
        <v>0</v>
      </c>
      <c r="F96">
        <v>0</v>
      </c>
      <c r="G96">
        <v>0</v>
      </c>
      <c r="H96">
        <v>0</v>
      </c>
      <c r="I96">
        <v>3</v>
      </c>
      <c r="J96">
        <v>2</v>
      </c>
      <c r="K96">
        <v>0</v>
      </c>
      <c r="L96">
        <v>0</v>
      </c>
    </row>
    <row r="97" spans="1:12" x14ac:dyDescent="0.25">
      <c r="A97" t="s">
        <v>157</v>
      </c>
      <c r="B97" t="s">
        <v>155</v>
      </c>
      <c r="C97" t="s">
        <v>9</v>
      </c>
      <c r="D97" t="s">
        <v>10</v>
      </c>
      <c r="E97">
        <v>0</v>
      </c>
      <c r="F97">
        <v>0</v>
      </c>
      <c r="G97">
        <v>0</v>
      </c>
      <c r="H97">
        <v>0</v>
      </c>
      <c r="I97">
        <v>0</v>
      </c>
      <c r="J97">
        <v>0</v>
      </c>
      <c r="K97">
        <v>0</v>
      </c>
      <c r="L97">
        <v>0</v>
      </c>
    </row>
    <row r="98" spans="1:12" x14ac:dyDescent="0.25">
      <c r="A98" t="s">
        <v>158</v>
      </c>
      <c r="B98" t="s">
        <v>155</v>
      </c>
      <c r="C98" t="s">
        <v>9</v>
      </c>
      <c r="D98" t="s">
        <v>10</v>
      </c>
      <c r="E98">
        <v>0</v>
      </c>
      <c r="F98">
        <v>0</v>
      </c>
      <c r="G98">
        <v>0</v>
      </c>
      <c r="H98">
        <v>0</v>
      </c>
      <c r="I98">
        <v>5</v>
      </c>
      <c r="J98">
        <v>4</v>
      </c>
      <c r="K98">
        <v>0</v>
      </c>
      <c r="L98">
        <v>0</v>
      </c>
    </row>
    <row r="99" spans="1:12" x14ac:dyDescent="0.25">
      <c r="A99" t="s">
        <v>159</v>
      </c>
      <c r="B99" t="s">
        <v>155</v>
      </c>
      <c r="C99" t="s">
        <v>9</v>
      </c>
      <c r="D99" t="s">
        <v>10</v>
      </c>
      <c r="E99">
        <v>0</v>
      </c>
      <c r="F99">
        <v>0</v>
      </c>
      <c r="G99">
        <v>0</v>
      </c>
      <c r="H99">
        <v>0</v>
      </c>
      <c r="I99">
        <v>0</v>
      </c>
      <c r="J99">
        <v>0</v>
      </c>
      <c r="K99">
        <v>0</v>
      </c>
      <c r="L99">
        <v>0</v>
      </c>
    </row>
    <row r="100" spans="1:12" x14ac:dyDescent="0.25">
      <c r="A100" t="s">
        <v>160</v>
      </c>
      <c r="B100" t="s">
        <v>39</v>
      </c>
      <c r="C100" t="s">
        <v>40</v>
      </c>
      <c r="D100" t="s">
        <v>41</v>
      </c>
      <c r="E100">
        <v>0</v>
      </c>
      <c r="F100">
        <v>0</v>
      </c>
      <c r="G100">
        <v>0</v>
      </c>
      <c r="H100">
        <v>0</v>
      </c>
      <c r="I100">
        <v>3</v>
      </c>
      <c r="J100">
        <v>1</v>
      </c>
      <c r="K100">
        <v>0</v>
      </c>
      <c r="L100">
        <v>0</v>
      </c>
    </row>
    <row r="101" spans="1:12" x14ac:dyDescent="0.25">
      <c r="A101" t="s">
        <v>161</v>
      </c>
      <c r="B101" t="s">
        <v>24</v>
      </c>
      <c r="D101" t="s">
        <v>32</v>
      </c>
      <c r="E101">
        <v>35</v>
      </c>
      <c r="F101">
        <v>7</v>
      </c>
      <c r="G101">
        <v>199</v>
      </c>
      <c r="H101">
        <v>1714290</v>
      </c>
      <c r="I101">
        <v>15</v>
      </c>
      <c r="J101">
        <v>9</v>
      </c>
      <c r="K101">
        <v>96</v>
      </c>
      <c r="L101">
        <v>622890</v>
      </c>
    </row>
    <row r="102" spans="1:12" x14ac:dyDescent="0.25">
      <c r="A102" t="s">
        <v>162</v>
      </c>
      <c r="B102" t="s">
        <v>24</v>
      </c>
      <c r="D102" t="s">
        <v>32</v>
      </c>
      <c r="E102">
        <v>0</v>
      </c>
      <c r="F102">
        <v>0</v>
      </c>
      <c r="G102">
        <v>0</v>
      </c>
      <c r="H102">
        <v>0</v>
      </c>
      <c r="I102">
        <v>4</v>
      </c>
      <c r="J102">
        <v>3</v>
      </c>
      <c r="K102">
        <v>0</v>
      </c>
      <c r="L102">
        <v>0</v>
      </c>
    </row>
    <row r="103" spans="1:12" x14ac:dyDescent="0.25">
      <c r="A103" t="s">
        <v>163</v>
      </c>
      <c r="B103" t="s">
        <v>76</v>
      </c>
      <c r="C103" t="s">
        <v>40</v>
      </c>
      <c r="D103" t="s">
        <v>80</v>
      </c>
      <c r="E103">
        <v>119</v>
      </c>
      <c r="F103">
        <v>11</v>
      </c>
      <c r="G103">
        <v>261</v>
      </c>
      <c r="H103">
        <v>5852210</v>
      </c>
      <c r="I103">
        <v>35</v>
      </c>
      <c r="J103">
        <v>11</v>
      </c>
      <c r="K103">
        <v>183</v>
      </c>
      <c r="L103">
        <v>2805150</v>
      </c>
    </row>
    <row r="104" spans="1:12" x14ac:dyDescent="0.25">
      <c r="A104" t="s">
        <v>164</v>
      </c>
      <c r="B104" t="s">
        <v>39</v>
      </c>
      <c r="C104" t="s">
        <v>40</v>
      </c>
      <c r="D104" t="s">
        <v>41</v>
      </c>
      <c r="E104">
        <v>0</v>
      </c>
      <c r="F104">
        <v>0</v>
      </c>
      <c r="G104">
        <v>0</v>
      </c>
      <c r="H104">
        <v>0</v>
      </c>
      <c r="I104">
        <v>7</v>
      </c>
      <c r="J104">
        <v>4</v>
      </c>
      <c r="K104">
        <v>0</v>
      </c>
      <c r="L104">
        <v>0</v>
      </c>
    </row>
    <row r="105" spans="1:12" x14ac:dyDescent="0.25">
      <c r="A105" t="s">
        <v>165</v>
      </c>
      <c r="B105" t="s">
        <v>68</v>
      </c>
      <c r="C105" t="s">
        <v>40</v>
      </c>
      <c r="D105" t="s">
        <v>69</v>
      </c>
      <c r="E105">
        <v>345</v>
      </c>
      <c r="F105">
        <v>57</v>
      </c>
      <c r="G105">
        <v>507</v>
      </c>
      <c r="H105">
        <v>4030309</v>
      </c>
      <c r="I105">
        <v>105</v>
      </c>
      <c r="J105">
        <v>28</v>
      </c>
      <c r="K105">
        <v>283</v>
      </c>
      <c r="L105">
        <v>1933950</v>
      </c>
    </row>
    <row r="106" spans="1:12" x14ac:dyDescent="0.25">
      <c r="A106" t="s">
        <v>166</v>
      </c>
      <c r="B106" t="s">
        <v>85</v>
      </c>
      <c r="C106" t="s">
        <v>40</v>
      </c>
      <c r="D106" t="s">
        <v>167</v>
      </c>
      <c r="E106">
        <v>92</v>
      </c>
      <c r="F106">
        <v>6</v>
      </c>
      <c r="G106">
        <v>2</v>
      </c>
      <c r="H106">
        <v>25100</v>
      </c>
      <c r="I106">
        <v>19</v>
      </c>
      <c r="J106">
        <v>2</v>
      </c>
      <c r="K106">
        <v>1</v>
      </c>
      <c r="L106">
        <v>10100</v>
      </c>
    </row>
    <row r="107" spans="1:12" x14ac:dyDescent="0.25">
      <c r="A107" t="s">
        <v>168</v>
      </c>
      <c r="B107" t="s">
        <v>24</v>
      </c>
      <c r="D107" t="s">
        <v>35</v>
      </c>
      <c r="E107">
        <v>365</v>
      </c>
      <c r="F107">
        <v>58</v>
      </c>
      <c r="G107">
        <v>328</v>
      </c>
      <c r="H107">
        <v>3129073</v>
      </c>
      <c r="I107">
        <v>84</v>
      </c>
      <c r="J107">
        <v>27</v>
      </c>
      <c r="K107">
        <v>152</v>
      </c>
      <c r="L107">
        <v>1356800</v>
      </c>
    </row>
    <row r="108" spans="1:12" x14ac:dyDescent="0.25">
      <c r="A108" t="s">
        <v>169</v>
      </c>
      <c r="B108" t="s">
        <v>155</v>
      </c>
      <c r="D108" t="s">
        <v>10</v>
      </c>
      <c r="E108">
        <v>0</v>
      </c>
      <c r="F108">
        <v>0</v>
      </c>
      <c r="G108">
        <v>0</v>
      </c>
      <c r="H108">
        <v>0</v>
      </c>
      <c r="I108">
        <v>0</v>
      </c>
      <c r="J108">
        <v>0</v>
      </c>
      <c r="K108">
        <v>0</v>
      </c>
      <c r="L108">
        <v>0</v>
      </c>
    </row>
    <row r="109" spans="1:12" x14ac:dyDescent="0.25">
      <c r="A109" t="s">
        <v>170</v>
      </c>
      <c r="B109" t="s">
        <v>39</v>
      </c>
      <c r="D109" t="s">
        <v>41</v>
      </c>
      <c r="E109">
        <v>0</v>
      </c>
      <c r="F109">
        <v>0</v>
      </c>
      <c r="G109">
        <v>0</v>
      </c>
      <c r="H109">
        <v>0</v>
      </c>
      <c r="I109">
        <v>8</v>
      </c>
      <c r="J109">
        <v>4</v>
      </c>
      <c r="K109">
        <v>0</v>
      </c>
      <c r="L109">
        <v>0</v>
      </c>
    </row>
    <row r="110" spans="1:12" x14ac:dyDescent="0.25">
      <c r="A110" t="s">
        <v>171</v>
      </c>
      <c r="B110" t="s">
        <v>39</v>
      </c>
      <c r="D110" t="s">
        <v>41</v>
      </c>
      <c r="E110">
        <v>0</v>
      </c>
      <c r="F110">
        <v>0</v>
      </c>
      <c r="G110">
        <v>0</v>
      </c>
      <c r="H110">
        <v>0</v>
      </c>
      <c r="I110">
        <v>2</v>
      </c>
      <c r="J110">
        <v>2</v>
      </c>
      <c r="K110">
        <v>0</v>
      </c>
      <c r="L110">
        <v>0</v>
      </c>
    </row>
    <row r="111" spans="1:12" x14ac:dyDescent="0.25">
      <c r="A111" t="s">
        <v>172</v>
      </c>
      <c r="B111" t="s">
        <v>155</v>
      </c>
      <c r="C111" t="s">
        <v>9</v>
      </c>
      <c r="D111" t="s">
        <v>10</v>
      </c>
      <c r="E111">
        <v>0</v>
      </c>
      <c r="F111">
        <v>0</v>
      </c>
      <c r="G111">
        <v>0</v>
      </c>
      <c r="H111">
        <v>0</v>
      </c>
      <c r="I111">
        <v>0</v>
      </c>
      <c r="J111">
        <v>0</v>
      </c>
      <c r="K111">
        <v>0</v>
      </c>
      <c r="L111">
        <v>0</v>
      </c>
    </row>
    <row r="112" spans="1:12" x14ac:dyDescent="0.25">
      <c r="A112" t="s">
        <v>173</v>
      </c>
      <c r="B112" t="s">
        <v>155</v>
      </c>
      <c r="C112" t="s">
        <v>9</v>
      </c>
      <c r="D112" t="s">
        <v>10</v>
      </c>
      <c r="E112">
        <v>0</v>
      </c>
      <c r="F112">
        <v>0</v>
      </c>
      <c r="G112">
        <v>0</v>
      </c>
      <c r="H112">
        <v>0</v>
      </c>
      <c r="I112">
        <v>0</v>
      </c>
      <c r="J112">
        <v>0</v>
      </c>
      <c r="K112">
        <v>0</v>
      </c>
      <c r="L112">
        <v>0</v>
      </c>
    </row>
    <row r="113" spans="1:12" x14ac:dyDescent="0.25">
      <c r="A113" t="s">
        <v>174</v>
      </c>
      <c r="B113" t="s">
        <v>24</v>
      </c>
      <c r="D113" t="s">
        <v>37</v>
      </c>
      <c r="E113">
        <v>313</v>
      </c>
      <c r="F113">
        <v>49</v>
      </c>
      <c r="G113">
        <v>745</v>
      </c>
      <c r="H113">
        <v>9971354</v>
      </c>
      <c r="I113">
        <v>86</v>
      </c>
      <c r="J113">
        <v>43</v>
      </c>
      <c r="K113">
        <v>541</v>
      </c>
      <c r="L113">
        <v>4250710</v>
      </c>
    </row>
    <row r="114" spans="1:12" x14ac:dyDescent="0.25">
      <c r="A114" t="s">
        <v>175</v>
      </c>
      <c r="B114" t="s">
        <v>155</v>
      </c>
      <c r="C114" t="s">
        <v>9</v>
      </c>
      <c r="D114" t="s">
        <v>10</v>
      </c>
      <c r="E114">
        <v>0</v>
      </c>
      <c r="F114">
        <v>0</v>
      </c>
      <c r="G114">
        <v>0</v>
      </c>
      <c r="H114">
        <v>0</v>
      </c>
      <c r="I114">
        <v>0</v>
      </c>
      <c r="J114">
        <v>0</v>
      </c>
      <c r="K114">
        <v>0</v>
      </c>
      <c r="L114">
        <v>0</v>
      </c>
    </row>
    <row r="115" spans="1:12" x14ac:dyDescent="0.25">
      <c r="A115" t="s">
        <v>176</v>
      </c>
      <c r="B115" t="s">
        <v>155</v>
      </c>
      <c r="C115" t="s">
        <v>9</v>
      </c>
      <c r="D115" t="s">
        <v>10</v>
      </c>
      <c r="E115">
        <v>0</v>
      </c>
      <c r="F115">
        <v>0</v>
      </c>
      <c r="G115">
        <v>0</v>
      </c>
      <c r="H115">
        <v>0</v>
      </c>
      <c r="I115">
        <v>0</v>
      </c>
      <c r="J115">
        <v>0</v>
      </c>
      <c r="K115">
        <v>0</v>
      </c>
      <c r="L115">
        <v>0</v>
      </c>
    </row>
    <row r="116" spans="1:12" x14ac:dyDescent="0.25">
      <c r="A116" t="s">
        <v>177</v>
      </c>
      <c r="B116" t="s">
        <v>155</v>
      </c>
      <c r="C116" t="s">
        <v>9</v>
      </c>
      <c r="D116" t="s">
        <v>10</v>
      </c>
      <c r="E116">
        <v>0</v>
      </c>
      <c r="F116">
        <v>0</v>
      </c>
      <c r="G116">
        <v>0</v>
      </c>
      <c r="H116">
        <v>0</v>
      </c>
      <c r="I116">
        <v>0</v>
      </c>
      <c r="J116">
        <v>0</v>
      </c>
      <c r="K116">
        <v>0</v>
      </c>
      <c r="L116">
        <v>0</v>
      </c>
    </row>
    <row r="117" spans="1:12" x14ac:dyDescent="0.25">
      <c r="A117" t="s">
        <v>178</v>
      </c>
      <c r="B117" t="s">
        <v>24</v>
      </c>
      <c r="D117" t="s">
        <v>30</v>
      </c>
      <c r="E117">
        <v>349</v>
      </c>
      <c r="F117">
        <v>55</v>
      </c>
      <c r="G117">
        <v>959</v>
      </c>
      <c r="H117">
        <v>20780969</v>
      </c>
      <c r="I117">
        <v>87</v>
      </c>
      <c r="J117">
        <v>35</v>
      </c>
      <c r="K117">
        <v>472</v>
      </c>
      <c r="L117">
        <v>10118919</v>
      </c>
    </row>
    <row r="118" spans="1:12" x14ac:dyDescent="0.25">
      <c r="A118" t="s">
        <v>179</v>
      </c>
      <c r="B118" t="s">
        <v>85</v>
      </c>
      <c r="D118" t="s">
        <v>26</v>
      </c>
      <c r="E118">
        <v>388</v>
      </c>
      <c r="F118">
        <v>34</v>
      </c>
      <c r="G118">
        <v>346</v>
      </c>
      <c r="H118">
        <v>3920600</v>
      </c>
      <c r="I118">
        <v>36</v>
      </c>
      <c r="J118">
        <v>16</v>
      </c>
      <c r="K118">
        <v>165</v>
      </c>
      <c r="L118">
        <v>2076930</v>
      </c>
    </row>
    <row r="119" spans="1:12" x14ac:dyDescent="0.25">
      <c r="A119" t="s">
        <v>180</v>
      </c>
      <c r="B119" t="s">
        <v>24</v>
      </c>
      <c r="D119" t="s">
        <v>26</v>
      </c>
      <c r="E119">
        <v>480</v>
      </c>
      <c r="F119">
        <v>61</v>
      </c>
      <c r="G119">
        <v>575</v>
      </c>
      <c r="H119">
        <v>6916272</v>
      </c>
      <c r="I119">
        <v>53</v>
      </c>
      <c r="J119">
        <v>15</v>
      </c>
      <c r="K119">
        <v>147</v>
      </c>
      <c r="L119">
        <v>1992050</v>
      </c>
    </row>
    <row r="120" spans="1:12" x14ac:dyDescent="0.25">
      <c r="A120" t="s">
        <v>181</v>
      </c>
      <c r="B120" t="s">
        <v>85</v>
      </c>
      <c r="D120" t="s">
        <v>26</v>
      </c>
      <c r="E120">
        <v>505</v>
      </c>
      <c r="F120">
        <v>44</v>
      </c>
      <c r="G120">
        <v>663</v>
      </c>
      <c r="H120">
        <v>6493892</v>
      </c>
      <c r="I120">
        <v>58</v>
      </c>
      <c r="J120">
        <v>19</v>
      </c>
      <c r="K120">
        <v>281</v>
      </c>
      <c r="L120">
        <v>2817200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00FE7A-2B09-44C9-A211-DC5C8B9A18D7}">
  <sheetPr codeName="Sheet4"/>
  <dimension ref="A1:AA21"/>
  <sheetViews>
    <sheetView workbookViewId="0">
      <selection activeCell="S3" sqref="S3"/>
    </sheetView>
  </sheetViews>
  <sheetFormatPr defaultRowHeight="15" x14ac:dyDescent="0.25"/>
  <cols>
    <col min="1" max="1" width="30.42578125" bestFit="1" customWidth="1"/>
    <col min="2" max="2" width="25.5703125" bestFit="1" customWidth="1"/>
    <col min="3" max="3" width="13.28515625" bestFit="1" customWidth="1"/>
    <col min="5" max="5" width="30.42578125" bestFit="1" customWidth="1"/>
    <col min="6" max="6" width="23.85546875" bestFit="1" customWidth="1"/>
    <col min="8" max="8" width="30.42578125" bestFit="1" customWidth="1"/>
    <col min="9" max="9" width="23.42578125" style="22" bestFit="1" customWidth="1"/>
    <col min="11" max="11" width="30.42578125" bestFit="1" customWidth="1"/>
    <col min="12" max="12" width="21.5703125" bestFit="1" customWidth="1"/>
    <col min="13" max="13" width="17.42578125" bestFit="1" customWidth="1"/>
    <col min="14" max="14" width="30.42578125" bestFit="1" customWidth="1"/>
    <col min="15" max="15" width="27.42578125" bestFit="1" customWidth="1"/>
    <col min="16" max="16" width="30.42578125" bestFit="1" customWidth="1"/>
    <col min="17" max="17" width="27.28515625" bestFit="1" customWidth="1"/>
    <col min="19" max="19" width="30.42578125" bestFit="1" customWidth="1"/>
    <col min="20" max="20" width="25.5703125" bestFit="1" customWidth="1"/>
    <col min="21" max="21" width="13.28515625" bestFit="1" customWidth="1"/>
    <col min="23" max="23" width="13.28515625" bestFit="1" customWidth="1"/>
    <col min="24" max="24" width="7.140625" bestFit="1" customWidth="1"/>
    <col min="25" max="25" width="13.140625" bestFit="1" customWidth="1"/>
    <col min="26" max="26" width="7.140625" bestFit="1" customWidth="1"/>
  </cols>
  <sheetData>
    <row r="1" spans="1:27" ht="18.75" x14ac:dyDescent="0.3">
      <c r="I1"/>
    </row>
    <row r="3" spans="1:27" x14ac:dyDescent="0.25">
      <c r="A3" s="3" t="s">
        <v>187</v>
      </c>
      <c r="B3" t="s">
        <v>189</v>
      </c>
      <c r="C3" t="s">
        <v>190</v>
      </c>
      <c r="E3" s="3" t="s">
        <v>187</v>
      </c>
      <c r="F3" t="s">
        <v>192</v>
      </c>
      <c r="H3" s="3" t="s">
        <v>187</v>
      </c>
      <c r="I3" s="22" t="s">
        <v>193</v>
      </c>
      <c r="K3" s="3" t="s">
        <v>187</v>
      </c>
      <c r="L3" t="s">
        <v>194</v>
      </c>
      <c r="M3" t="s">
        <v>195</v>
      </c>
      <c r="N3" s="3" t="s">
        <v>187</v>
      </c>
      <c r="O3" t="s">
        <v>196</v>
      </c>
      <c r="P3" s="3" t="s">
        <v>187</v>
      </c>
      <c r="Q3" t="s">
        <v>197</v>
      </c>
      <c r="S3" s="3" t="s">
        <v>187</v>
      </c>
      <c r="T3" t="s">
        <v>189</v>
      </c>
      <c r="U3" t="s">
        <v>190</v>
      </c>
      <c r="Y3" s="10"/>
      <c r="Z3" s="11"/>
      <c r="AA3" s="12"/>
    </row>
    <row r="4" spans="1:27" x14ac:dyDescent="0.25">
      <c r="A4" s="4" t="s">
        <v>24</v>
      </c>
      <c r="B4" s="26">
        <v>7282</v>
      </c>
      <c r="C4" s="26">
        <v>1381</v>
      </c>
      <c r="E4" s="4" t="s">
        <v>155</v>
      </c>
      <c r="F4" s="26">
        <v>0</v>
      </c>
      <c r="H4" s="4" t="s">
        <v>155</v>
      </c>
      <c r="I4" s="22">
        <v>0</v>
      </c>
      <c r="K4" s="4" t="s">
        <v>8</v>
      </c>
      <c r="L4" s="26">
        <v>1912</v>
      </c>
      <c r="M4" s="26">
        <v>752</v>
      </c>
      <c r="N4" s="4" t="s">
        <v>90</v>
      </c>
      <c r="O4" s="26">
        <v>56965</v>
      </c>
      <c r="P4" s="4" t="s">
        <v>155</v>
      </c>
      <c r="Q4" s="26">
        <v>0</v>
      </c>
      <c r="S4" s="4" t="s">
        <v>24</v>
      </c>
      <c r="T4" s="26">
        <v>7282</v>
      </c>
      <c r="U4" s="26">
        <v>1381</v>
      </c>
      <c r="Y4" s="13"/>
      <c r="Z4" s="14"/>
      <c r="AA4" s="15"/>
    </row>
    <row r="5" spans="1:27" x14ac:dyDescent="0.25">
      <c r="A5" s="4" t="s">
        <v>8</v>
      </c>
      <c r="B5" s="26">
        <v>7076</v>
      </c>
      <c r="C5" s="26">
        <v>1362</v>
      </c>
      <c r="E5" s="4" t="s">
        <v>120</v>
      </c>
      <c r="F5" s="26">
        <v>4958</v>
      </c>
      <c r="H5" s="4" t="s">
        <v>120</v>
      </c>
      <c r="I5" s="22">
        <v>25860666</v>
      </c>
      <c r="K5" s="4" t="s">
        <v>90</v>
      </c>
      <c r="L5" s="26">
        <v>1823</v>
      </c>
      <c r="M5" s="26">
        <v>1019</v>
      </c>
      <c r="N5" s="4" t="s">
        <v>24</v>
      </c>
      <c r="O5" s="26">
        <v>45809</v>
      </c>
      <c r="P5" s="4" t="s">
        <v>120</v>
      </c>
      <c r="Q5" s="26">
        <v>12498678</v>
      </c>
      <c r="S5" s="4" t="s">
        <v>8</v>
      </c>
      <c r="T5" s="26">
        <v>7076</v>
      </c>
      <c r="U5" s="26">
        <v>1362</v>
      </c>
      <c r="Y5" s="13"/>
      <c r="Z5" s="14"/>
      <c r="AA5" s="15"/>
    </row>
    <row r="6" spans="1:27" x14ac:dyDescent="0.25">
      <c r="A6" s="4" t="s">
        <v>39</v>
      </c>
      <c r="B6" s="26">
        <v>6412</v>
      </c>
      <c r="C6" s="26">
        <v>768</v>
      </c>
      <c r="E6" s="4" t="s">
        <v>60</v>
      </c>
      <c r="F6" s="26">
        <v>8730</v>
      </c>
      <c r="H6" s="4" t="s">
        <v>60</v>
      </c>
      <c r="I6" s="22">
        <v>99973275</v>
      </c>
      <c r="K6" s="4" t="s">
        <v>24</v>
      </c>
      <c r="L6" s="26">
        <v>1681</v>
      </c>
      <c r="M6" s="26">
        <v>897</v>
      </c>
      <c r="N6" s="4" t="s">
        <v>16</v>
      </c>
      <c r="O6" s="26">
        <v>44132</v>
      </c>
      <c r="P6" s="4" t="s">
        <v>60</v>
      </c>
      <c r="Q6" s="26">
        <v>45065141</v>
      </c>
      <c r="S6" s="4" t="s">
        <v>39</v>
      </c>
      <c r="T6" s="26">
        <v>6412</v>
      </c>
      <c r="U6" s="26">
        <v>768</v>
      </c>
      <c r="Y6" s="13"/>
      <c r="Z6" s="14"/>
      <c r="AA6" s="15"/>
    </row>
    <row r="7" spans="1:27" x14ac:dyDescent="0.25">
      <c r="A7" s="4" t="s">
        <v>90</v>
      </c>
      <c r="B7" s="26">
        <v>5142</v>
      </c>
      <c r="C7" s="26">
        <v>1156</v>
      </c>
      <c r="E7" s="4" t="s">
        <v>65</v>
      </c>
      <c r="F7" s="26">
        <v>10624</v>
      </c>
      <c r="H7" s="4" t="s">
        <v>65</v>
      </c>
      <c r="I7" s="22">
        <v>136605398</v>
      </c>
      <c r="K7" s="4" t="s">
        <v>39</v>
      </c>
      <c r="L7" s="26">
        <v>1530</v>
      </c>
      <c r="M7" s="26">
        <v>577</v>
      </c>
      <c r="N7" s="4" t="s">
        <v>8</v>
      </c>
      <c r="O7" s="26">
        <v>37244</v>
      </c>
      <c r="P7" s="4" t="s">
        <v>65</v>
      </c>
      <c r="Q7" s="26">
        <v>71649561</v>
      </c>
      <c r="S7" s="4" t="s">
        <v>90</v>
      </c>
      <c r="T7" s="26">
        <v>5142</v>
      </c>
      <c r="U7" s="26">
        <v>1156</v>
      </c>
      <c r="Y7" s="13"/>
      <c r="Z7" s="14"/>
      <c r="AA7" s="15"/>
    </row>
    <row r="8" spans="1:27" x14ac:dyDescent="0.25">
      <c r="A8" s="4" t="s">
        <v>105</v>
      </c>
      <c r="B8" s="26">
        <v>3998</v>
      </c>
      <c r="C8" s="26">
        <v>1125</v>
      </c>
      <c r="E8" s="4" t="s">
        <v>129</v>
      </c>
      <c r="F8" s="26">
        <v>15052</v>
      </c>
      <c r="H8" s="4" t="s">
        <v>129</v>
      </c>
      <c r="I8" s="22">
        <v>201982158</v>
      </c>
      <c r="K8" s="4" t="s">
        <v>16</v>
      </c>
      <c r="L8" s="26">
        <v>1437</v>
      </c>
      <c r="M8" s="26">
        <v>683</v>
      </c>
      <c r="N8" s="4" t="s">
        <v>76</v>
      </c>
      <c r="O8" s="26">
        <v>36206</v>
      </c>
      <c r="P8" s="4" t="s">
        <v>129</v>
      </c>
      <c r="Q8" s="26">
        <v>94441230</v>
      </c>
      <c r="S8" s="4" t="s">
        <v>105</v>
      </c>
      <c r="T8" s="26">
        <v>3998</v>
      </c>
      <c r="U8" s="26">
        <v>1125</v>
      </c>
      <c r="Y8" s="13"/>
      <c r="Z8" s="14"/>
      <c r="AA8" s="15"/>
    </row>
    <row r="9" spans="1:27" x14ac:dyDescent="0.25">
      <c r="A9" s="4" t="s">
        <v>76</v>
      </c>
      <c r="B9" s="26">
        <v>3732</v>
      </c>
      <c r="C9" s="26">
        <v>545</v>
      </c>
      <c r="E9" s="4" t="s">
        <v>116</v>
      </c>
      <c r="F9" s="26">
        <v>17999</v>
      </c>
      <c r="H9" s="4" t="s">
        <v>116</v>
      </c>
      <c r="I9" s="22">
        <v>230589438</v>
      </c>
      <c r="K9" s="4" t="s">
        <v>105</v>
      </c>
      <c r="L9" s="26">
        <v>1316</v>
      </c>
      <c r="M9" s="26">
        <v>633</v>
      </c>
      <c r="N9" s="4" t="s">
        <v>105</v>
      </c>
      <c r="O9" s="26">
        <v>29109</v>
      </c>
      <c r="P9" s="4" t="s">
        <v>116</v>
      </c>
      <c r="Q9" s="26">
        <v>97360566</v>
      </c>
      <c r="S9" s="4" t="s">
        <v>76</v>
      </c>
      <c r="T9" s="26">
        <v>3732</v>
      </c>
      <c r="U9" s="26">
        <v>545</v>
      </c>
      <c r="Y9" s="13"/>
      <c r="Z9" s="14"/>
      <c r="AA9" s="15"/>
    </row>
    <row r="10" spans="1:27" x14ac:dyDescent="0.25">
      <c r="A10" s="4" t="s">
        <v>16</v>
      </c>
      <c r="B10" s="26">
        <v>3662</v>
      </c>
      <c r="C10" s="26">
        <v>954</v>
      </c>
      <c r="E10" s="4" t="s">
        <v>68</v>
      </c>
      <c r="F10" s="26">
        <v>31451</v>
      </c>
      <c r="H10" s="4" t="s">
        <v>68</v>
      </c>
      <c r="I10" s="22">
        <v>292386635</v>
      </c>
      <c r="K10" s="4" t="s">
        <v>76</v>
      </c>
      <c r="L10" s="26">
        <v>1079</v>
      </c>
      <c r="M10" s="26">
        <v>523</v>
      </c>
      <c r="N10" s="4" t="s">
        <v>95</v>
      </c>
      <c r="O10" s="26">
        <v>25768</v>
      </c>
      <c r="P10" s="4" t="s">
        <v>68</v>
      </c>
      <c r="Q10" s="26">
        <v>135405384</v>
      </c>
      <c r="S10" s="4" t="s">
        <v>16</v>
      </c>
      <c r="T10" s="26">
        <v>3662</v>
      </c>
      <c r="U10" s="26">
        <v>954</v>
      </c>
      <c r="Y10" s="13"/>
      <c r="Z10" s="14"/>
      <c r="AA10" s="15"/>
    </row>
    <row r="11" spans="1:27" x14ac:dyDescent="0.25">
      <c r="A11" s="4" t="s">
        <v>85</v>
      </c>
      <c r="B11" s="26">
        <v>3572</v>
      </c>
      <c r="C11" s="26">
        <v>453</v>
      </c>
      <c r="E11" s="4" t="s">
        <v>52</v>
      </c>
      <c r="F11" s="26">
        <v>31654</v>
      </c>
      <c r="H11" s="4" t="s">
        <v>85</v>
      </c>
      <c r="I11" s="22">
        <v>424591531</v>
      </c>
      <c r="K11" s="4" t="s">
        <v>68</v>
      </c>
      <c r="L11" s="26">
        <v>960</v>
      </c>
      <c r="M11" s="26">
        <v>383</v>
      </c>
      <c r="N11" s="4" t="s">
        <v>39</v>
      </c>
      <c r="O11" s="26">
        <v>24905</v>
      </c>
      <c r="P11" s="4" t="s">
        <v>85</v>
      </c>
      <c r="Q11" s="26">
        <v>187759874</v>
      </c>
      <c r="S11" s="4" t="s">
        <v>85</v>
      </c>
      <c r="T11" s="26">
        <v>3572</v>
      </c>
      <c r="U11" s="26">
        <v>453</v>
      </c>
      <c r="Y11" s="13"/>
      <c r="Z11" s="14"/>
      <c r="AA11" s="15"/>
    </row>
    <row r="12" spans="1:27" x14ac:dyDescent="0.25">
      <c r="A12" s="4" t="s">
        <v>52</v>
      </c>
      <c r="B12" s="26">
        <v>2953</v>
      </c>
      <c r="C12" s="26">
        <v>491</v>
      </c>
      <c r="E12" s="4" t="s">
        <v>85</v>
      </c>
      <c r="F12" s="26">
        <v>31781</v>
      </c>
      <c r="H12" s="4" t="s">
        <v>52</v>
      </c>
      <c r="I12" s="22">
        <v>435770986</v>
      </c>
      <c r="K12" s="4" t="s">
        <v>52</v>
      </c>
      <c r="L12" s="26">
        <v>838</v>
      </c>
      <c r="M12" s="26">
        <v>341</v>
      </c>
      <c r="N12" s="4" t="s">
        <v>52</v>
      </c>
      <c r="O12" s="26">
        <v>18734</v>
      </c>
      <c r="P12" s="4" t="s">
        <v>52</v>
      </c>
      <c r="Q12" s="26">
        <v>200763714</v>
      </c>
      <c r="S12" s="4" t="s">
        <v>52</v>
      </c>
      <c r="T12" s="26">
        <v>2953</v>
      </c>
      <c r="U12" s="26">
        <v>491</v>
      </c>
      <c r="Y12" s="13"/>
      <c r="Z12" s="14"/>
      <c r="AA12" s="15"/>
    </row>
    <row r="13" spans="1:27" x14ac:dyDescent="0.25">
      <c r="A13" s="4" t="s">
        <v>68</v>
      </c>
      <c r="B13" s="26">
        <v>2710</v>
      </c>
      <c r="C13" s="26">
        <v>619</v>
      </c>
      <c r="E13" s="4" t="s">
        <v>95</v>
      </c>
      <c r="F13" s="26">
        <v>38620</v>
      </c>
      <c r="H13" s="4" t="s">
        <v>95</v>
      </c>
      <c r="I13" s="22">
        <v>467131819</v>
      </c>
      <c r="K13" s="4" t="s">
        <v>85</v>
      </c>
      <c r="L13" s="26">
        <v>690</v>
      </c>
      <c r="M13" s="26">
        <v>333</v>
      </c>
      <c r="N13" s="4" t="s">
        <v>68</v>
      </c>
      <c r="O13" s="26">
        <v>17721</v>
      </c>
      <c r="P13" s="4" t="s">
        <v>95</v>
      </c>
      <c r="Q13" s="26">
        <v>232050507</v>
      </c>
      <c r="S13" s="4" t="s">
        <v>68</v>
      </c>
      <c r="T13" s="26">
        <v>2710</v>
      </c>
      <c r="U13" s="26">
        <v>619</v>
      </c>
      <c r="Y13" s="13"/>
      <c r="Z13" s="14"/>
      <c r="AA13" s="15"/>
    </row>
    <row r="14" spans="1:27" x14ac:dyDescent="0.25">
      <c r="A14" s="4" t="s">
        <v>60</v>
      </c>
      <c r="B14" s="26">
        <v>2216</v>
      </c>
      <c r="C14" s="26">
        <v>149</v>
      </c>
      <c r="E14" s="4" t="s">
        <v>39</v>
      </c>
      <c r="F14" s="26">
        <v>42368</v>
      </c>
      <c r="H14" s="4" t="s">
        <v>39</v>
      </c>
      <c r="I14" s="22">
        <v>517388693</v>
      </c>
      <c r="K14" s="4" t="s">
        <v>95</v>
      </c>
      <c r="L14" s="26">
        <v>660</v>
      </c>
      <c r="M14" s="26">
        <v>405</v>
      </c>
      <c r="N14" s="4" t="s">
        <v>85</v>
      </c>
      <c r="O14" s="26">
        <v>15892</v>
      </c>
      <c r="P14" s="4" t="s">
        <v>39</v>
      </c>
      <c r="Q14" s="26">
        <v>242498841</v>
      </c>
      <c r="S14" s="4" t="s">
        <v>60</v>
      </c>
      <c r="T14" s="26">
        <v>2216</v>
      </c>
      <c r="U14" s="26">
        <v>149</v>
      </c>
      <c r="Y14" s="13"/>
      <c r="Z14" s="14"/>
      <c r="AA14" s="15"/>
    </row>
    <row r="15" spans="1:27" x14ac:dyDescent="0.25">
      <c r="A15" s="4" t="s">
        <v>116</v>
      </c>
      <c r="B15" s="26">
        <v>2102</v>
      </c>
      <c r="C15" s="26">
        <v>386</v>
      </c>
      <c r="E15" s="4" t="s">
        <v>76</v>
      </c>
      <c r="F15" s="26">
        <v>52479</v>
      </c>
      <c r="H15" s="4" t="s">
        <v>76</v>
      </c>
      <c r="I15" s="22">
        <v>696227770</v>
      </c>
      <c r="K15" s="4" t="s">
        <v>116</v>
      </c>
      <c r="L15" s="26">
        <v>538</v>
      </c>
      <c r="M15" s="26">
        <v>204</v>
      </c>
      <c r="N15" s="4" t="s">
        <v>116</v>
      </c>
      <c r="O15" s="26">
        <v>7963</v>
      </c>
      <c r="P15" s="4" t="s">
        <v>105</v>
      </c>
      <c r="Q15" s="26">
        <v>335946132</v>
      </c>
      <c r="S15" s="4" t="s">
        <v>116</v>
      </c>
      <c r="T15" s="26">
        <v>2102</v>
      </c>
      <c r="U15" s="26">
        <v>386</v>
      </c>
      <c r="Y15" s="13"/>
      <c r="Z15" s="14"/>
      <c r="AA15" s="15"/>
    </row>
    <row r="16" spans="1:27" x14ac:dyDescent="0.25">
      <c r="A16" s="4" t="s">
        <v>95</v>
      </c>
      <c r="B16" s="26">
        <v>1530</v>
      </c>
      <c r="C16" s="26">
        <v>392</v>
      </c>
      <c r="E16" s="4" t="s">
        <v>105</v>
      </c>
      <c r="F16" s="26">
        <v>54637</v>
      </c>
      <c r="H16" s="4" t="s">
        <v>105</v>
      </c>
      <c r="I16" s="22">
        <v>795188827</v>
      </c>
      <c r="K16" s="4" t="s">
        <v>129</v>
      </c>
      <c r="L16" s="26">
        <v>446</v>
      </c>
      <c r="M16" s="26">
        <v>167</v>
      </c>
      <c r="N16" s="4" t="s">
        <v>129</v>
      </c>
      <c r="O16" s="26">
        <v>7578</v>
      </c>
      <c r="P16" s="4" t="s">
        <v>8</v>
      </c>
      <c r="Q16" s="26">
        <v>362518059</v>
      </c>
      <c r="S16" s="4" t="s">
        <v>95</v>
      </c>
      <c r="T16" s="26">
        <v>1530</v>
      </c>
      <c r="U16" s="26">
        <v>392</v>
      </c>
      <c r="Y16" s="13"/>
      <c r="Z16" s="14"/>
      <c r="AA16" s="15"/>
    </row>
    <row r="17" spans="1:27" x14ac:dyDescent="0.25">
      <c r="A17" s="4" t="s">
        <v>129</v>
      </c>
      <c r="B17" s="26">
        <v>1188</v>
      </c>
      <c r="C17" s="26">
        <v>263</v>
      </c>
      <c r="E17" s="4" t="s">
        <v>8</v>
      </c>
      <c r="F17" s="26">
        <v>71998</v>
      </c>
      <c r="H17" s="4" t="s">
        <v>8</v>
      </c>
      <c r="I17" s="22">
        <v>939183606</v>
      </c>
      <c r="K17" s="4" t="s">
        <v>65</v>
      </c>
      <c r="L17" s="26">
        <v>412</v>
      </c>
      <c r="M17" s="26">
        <v>170</v>
      </c>
      <c r="N17" s="4" t="s">
        <v>65</v>
      </c>
      <c r="O17" s="26">
        <v>6795</v>
      </c>
      <c r="P17" s="4" t="s">
        <v>76</v>
      </c>
      <c r="Q17" s="26">
        <v>422767689</v>
      </c>
      <c r="S17" s="4" t="s">
        <v>129</v>
      </c>
      <c r="T17" s="26">
        <v>1188</v>
      </c>
      <c r="U17" s="26">
        <v>263</v>
      </c>
      <c r="Y17" s="13"/>
      <c r="Z17" s="14"/>
      <c r="AA17" s="15"/>
    </row>
    <row r="18" spans="1:27" x14ac:dyDescent="0.25">
      <c r="A18" s="4" t="s">
        <v>65</v>
      </c>
      <c r="B18" s="26">
        <v>1180</v>
      </c>
      <c r="C18" s="26">
        <v>197</v>
      </c>
      <c r="E18" s="4" t="s">
        <v>24</v>
      </c>
      <c r="F18" s="26">
        <v>77704</v>
      </c>
      <c r="H18" s="4" t="s">
        <v>16</v>
      </c>
      <c r="I18" s="22">
        <v>963268233</v>
      </c>
      <c r="K18" s="4" t="s">
        <v>60</v>
      </c>
      <c r="L18" s="26">
        <v>286</v>
      </c>
      <c r="M18" s="26">
        <v>112</v>
      </c>
      <c r="N18" s="4" t="s">
        <v>60</v>
      </c>
      <c r="O18" s="26">
        <v>4855</v>
      </c>
      <c r="P18" s="4" t="s">
        <v>16</v>
      </c>
      <c r="Q18" s="26">
        <v>423674979</v>
      </c>
      <c r="S18" s="4" t="s">
        <v>65</v>
      </c>
      <c r="T18" s="26">
        <v>1180</v>
      </c>
      <c r="U18" s="26">
        <v>197</v>
      </c>
      <c r="Y18" s="13"/>
      <c r="Z18" s="14"/>
      <c r="AA18" s="15"/>
    </row>
    <row r="19" spans="1:27" x14ac:dyDescent="0.25">
      <c r="A19" s="4" t="s">
        <v>120</v>
      </c>
      <c r="B19" s="26">
        <v>308</v>
      </c>
      <c r="C19" s="26">
        <v>56</v>
      </c>
      <c r="E19" s="4" t="s">
        <v>16</v>
      </c>
      <c r="F19" s="26">
        <v>79821</v>
      </c>
      <c r="H19" s="4" t="s">
        <v>24</v>
      </c>
      <c r="I19" s="22">
        <v>1058510937</v>
      </c>
      <c r="K19" s="4" t="s">
        <v>120</v>
      </c>
      <c r="L19" s="26">
        <v>74</v>
      </c>
      <c r="M19" s="26">
        <v>42</v>
      </c>
      <c r="N19" s="4" t="s">
        <v>120</v>
      </c>
      <c r="O19" s="26">
        <v>1222</v>
      </c>
      <c r="P19" s="4" t="s">
        <v>24</v>
      </c>
      <c r="Q19" s="26">
        <v>498932363</v>
      </c>
      <c r="S19" s="4" t="s">
        <v>120</v>
      </c>
      <c r="T19" s="26">
        <v>308</v>
      </c>
      <c r="U19" s="26">
        <v>56</v>
      </c>
      <c r="Y19" s="13"/>
      <c r="Z19" s="14"/>
      <c r="AA19" s="15"/>
    </row>
    <row r="20" spans="1:27" x14ac:dyDescent="0.25">
      <c r="A20" s="4" t="s">
        <v>155</v>
      </c>
      <c r="B20" s="26">
        <v>0</v>
      </c>
      <c r="C20" s="26">
        <v>0</v>
      </c>
      <c r="E20" s="4" t="s">
        <v>90</v>
      </c>
      <c r="F20" s="26">
        <v>92180</v>
      </c>
      <c r="H20" s="4" t="s">
        <v>90</v>
      </c>
      <c r="I20" s="22">
        <v>1233860749</v>
      </c>
      <c r="K20" s="4" t="s">
        <v>155</v>
      </c>
      <c r="L20" s="26">
        <v>17</v>
      </c>
      <c r="M20" s="26">
        <v>14</v>
      </c>
      <c r="N20" s="4" t="s">
        <v>155</v>
      </c>
      <c r="O20" s="26">
        <v>0</v>
      </c>
      <c r="P20" s="4" t="s">
        <v>90</v>
      </c>
      <c r="Q20" s="26">
        <v>596787593</v>
      </c>
      <c r="S20" s="4" t="s">
        <v>155</v>
      </c>
      <c r="T20" s="26">
        <v>0</v>
      </c>
      <c r="U20" s="26">
        <v>0</v>
      </c>
      <c r="Y20" s="16"/>
      <c r="Z20" s="17"/>
      <c r="AA20" s="18"/>
    </row>
    <row r="21" spans="1:27" x14ac:dyDescent="0.25">
      <c r="A21" s="4" t="s">
        <v>188</v>
      </c>
      <c r="B21" s="26">
        <v>55063</v>
      </c>
      <c r="C21" s="26">
        <v>10297</v>
      </c>
      <c r="E21" s="4" t="s">
        <v>188</v>
      </c>
      <c r="F21" s="26">
        <v>662056</v>
      </c>
      <c r="H21" s="4" t="s">
        <v>188</v>
      </c>
      <c r="I21" s="22">
        <v>8518520721</v>
      </c>
      <c r="K21" s="4" t="s">
        <v>188</v>
      </c>
      <c r="L21" s="26">
        <v>15699</v>
      </c>
      <c r="M21" s="26">
        <v>7255</v>
      </c>
      <c r="N21" s="4" t="s">
        <v>188</v>
      </c>
      <c r="O21" s="26">
        <v>380898</v>
      </c>
      <c r="P21" s="4" t="s">
        <v>188</v>
      </c>
      <c r="Q21" s="26">
        <v>3960120311</v>
      </c>
      <c r="S21" s="4" t="s">
        <v>188</v>
      </c>
      <c r="T21" s="26">
        <v>55063</v>
      </c>
      <c r="U21" s="26">
        <v>10297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Dashboard</vt:lpstr>
      <vt:lpstr>Sales Raw Data</vt:lpstr>
      <vt:lpstr>New Raw Data</vt:lpstr>
      <vt:lpstr>Pivot Tables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Babalola</dc:creator>
  <cp:lastModifiedBy>Michael Babalola</cp:lastModifiedBy>
  <dcterms:created xsi:type="dcterms:W3CDTF">2023-10-04T09:55:06Z</dcterms:created>
  <dcterms:modified xsi:type="dcterms:W3CDTF">2024-03-22T14:13:50Z</dcterms:modified>
</cp:coreProperties>
</file>